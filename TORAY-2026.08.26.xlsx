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1910" tabRatio="593" activeTab="3"/>
  </bookViews>
  <sheets>
    <sheet name="0822" sheetId="522" r:id="rId1"/>
    <sheet name="0824" sheetId="523" r:id="rId2"/>
    <sheet name="0825" sheetId="524" r:id="rId3"/>
    <sheet name="0826" sheetId="525" r:id="rId4"/>
    <sheet name="ZH00050A" sheetId="267" r:id="rId5"/>
  </sheets>
  <definedNames>
    <definedName name="_xlnm.Print_Area" localSheetId="0">'0822'!$A$1:$T$101</definedName>
    <definedName name="_xlnm.Print_Area" localSheetId="2">'0825'!$A$1:$U$108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09" i="525" l="1"/>
  <c r="P108" i="525"/>
  <c r="P107" i="525"/>
  <c r="P106" i="525"/>
  <c r="P105" i="525"/>
  <c r="P104" i="525"/>
  <c r="P103" i="525"/>
  <c r="P102" i="525"/>
  <c r="P60" i="525"/>
  <c r="P59" i="525"/>
  <c r="P58" i="525"/>
  <c r="E58" i="525"/>
  <c r="P57" i="525"/>
  <c r="P56" i="525"/>
  <c r="P55" i="525"/>
  <c r="P54" i="525"/>
  <c r="P53" i="525"/>
  <c r="Q49" i="525"/>
  <c r="F49" i="525"/>
  <c r="Q48" i="525"/>
  <c r="F48" i="525"/>
  <c r="Q47" i="525"/>
  <c r="F47" i="525"/>
  <c r="Q46" i="525"/>
  <c r="F46" i="525"/>
  <c r="Q45" i="525"/>
  <c r="F45" i="525"/>
  <c r="Q44" i="525"/>
  <c r="F44" i="525"/>
  <c r="Q43" i="525"/>
  <c r="Q93" i="525"/>
  <c r="E65" i="525"/>
  <c r="H8" i="525"/>
  <c r="H6" i="525"/>
  <c r="I23" i="525"/>
  <c r="I25" i="525"/>
  <c r="I30" i="525"/>
  <c r="I35" i="525"/>
  <c r="I36" i="525"/>
  <c r="I38" i="525"/>
  <c r="I39" i="525"/>
  <c r="I21" i="525"/>
  <c r="Q98" i="525" l="1"/>
  <c r="Q94" i="525"/>
  <c r="Q89" i="525"/>
  <c r="R85" i="525"/>
  <c r="R84" i="525"/>
  <c r="R83" i="525"/>
  <c r="P79" i="525"/>
  <c r="E79" i="525"/>
  <c r="S75" i="525"/>
  <c r="H75" i="525"/>
  <c r="S74" i="525"/>
  <c r="H74" i="525"/>
  <c r="S73" i="525"/>
  <c r="S72" i="525"/>
  <c r="S71" i="525"/>
  <c r="S70" i="525"/>
  <c r="P66" i="525"/>
  <c r="P65" i="525"/>
  <c r="P64" i="525"/>
  <c r="T39" i="525"/>
  <c r="T38" i="525"/>
  <c r="T37" i="525"/>
  <c r="T36" i="525"/>
  <c r="T35" i="525"/>
  <c r="T34" i="525"/>
  <c r="T33" i="525"/>
  <c r="T32" i="525"/>
  <c r="T31" i="525"/>
  <c r="T30" i="525"/>
  <c r="T29" i="525"/>
  <c r="T28" i="525"/>
  <c r="T27" i="525"/>
  <c r="T26" i="525"/>
  <c r="T25" i="525"/>
  <c r="T24" i="525"/>
  <c r="T23" i="525"/>
  <c r="T22" i="525"/>
  <c r="T21" i="525"/>
  <c r="Q17" i="525"/>
  <c r="F17" i="525"/>
  <c r="Q16" i="525"/>
  <c r="F16" i="525"/>
  <c r="Q15" i="525"/>
  <c r="F15" i="525"/>
  <c r="Q14" i="525"/>
  <c r="Q13" i="525"/>
  <c r="Q12" i="525"/>
  <c r="S8" i="525"/>
  <c r="S7" i="525"/>
  <c r="S6" i="525"/>
  <c r="S5" i="525"/>
  <c r="S4" i="525"/>
  <c r="I16" i="524" l="1"/>
  <c r="Q108" i="524"/>
  <c r="Q107" i="524"/>
  <c r="Q106" i="524"/>
  <c r="Q105" i="524"/>
  <c r="Q104" i="524"/>
  <c r="Q103" i="524"/>
  <c r="I48" i="524"/>
  <c r="F25" i="524"/>
  <c r="F26" i="524"/>
  <c r="F24" i="524"/>
  <c r="Q5" i="524"/>
  <c r="H63" i="524"/>
  <c r="P67" i="524"/>
  <c r="E67" i="524"/>
  <c r="H62" i="524"/>
  <c r="S63" i="524"/>
  <c r="S62" i="524"/>
  <c r="I12" i="524"/>
  <c r="T17" i="524"/>
  <c r="I39" i="524"/>
  <c r="I44" i="524"/>
  <c r="I45" i="524"/>
  <c r="I47" i="524"/>
  <c r="I30" i="524"/>
  <c r="T42" i="524"/>
  <c r="T41" i="524"/>
  <c r="T37" i="524"/>
  <c r="P99" i="524" l="1"/>
  <c r="P95" i="524"/>
  <c r="P94" i="524"/>
  <c r="P93" i="524"/>
  <c r="P89" i="524"/>
  <c r="P85" i="524"/>
  <c r="Q81" i="524"/>
  <c r="Q77" i="524"/>
  <c r="R73" i="524"/>
  <c r="R72" i="524"/>
  <c r="R71" i="524"/>
  <c r="S61" i="524"/>
  <c r="S60" i="524"/>
  <c r="S59" i="524"/>
  <c r="S58" i="524"/>
  <c r="S54" i="524"/>
  <c r="S53" i="524"/>
  <c r="H53" i="524"/>
  <c r="S52" i="524"/>
  <c r="T48" i="524"/>
  <c r="T47" i="524"/>
  <c r="T46" i="524"/>
  <c r="T45" i="524"/>
  <c r="T44" i="524"/>
  <c r="T43" i="524"/>
  <c r="T40" i="524"/>
  <c r="T39" i="524"/>
  <c r="T38" i="524"/>
  <c r="T36" i="524"/>
  <c r="T35" i="524"/>
  <c r="T34" i="524"/>
  <c r="T33" i="524"/>
  <c r="T32" i="524"/>
  <c r="T31" i="524"/>
  <c r="T30" i="524"/>
  <c r="Q26" i="524"/>
  <c r="Q25" i="524"/>
  <c r="Q24" i="524"/>
  <c r="Q23" i="524"/>
  <c r="Q22" i="524"/>
  <c r="Q21" i="524"/>
  <c r="T16" i="524"/>
  <c r="T15" i="524"/>
  <c r="T12" i="524"/>
  <c r="T11" i="524"/>
  <c r="T10" i="524"/>
  <c r="Q6" i="524"/>
  <c r="F6" i="524"/>
  <c r="Q4" i="524"/>
  <c r="P101" i="523"/>
  <c r="P97" i="523"/>
  <c r="P96" i="523"/>
  <c r="P95" i="523"/>
  <c r="P91" i="523"/>
  <c r="P87" i="523"/>
  <c r="P83" i="523"/>
  <c r="P79" i="523"/>
  <c r="Q75" i="523"/>
  <c r="Q74" i="523"/>
  <c r="Q73" i="523"/>
  <c r="R69" i="523"/>
  <c r="R68" i="523"/>
  <c r="R67" i="523"/>
  <c r="R66" i="523"/>
  <c r="P62" i="523"/>
  <c r="E62" i="523"/>
  <c r="S58" i="523"/>
  <c r="S57" i="523"/>
  <c r="H57" i="523"/>
  <c r="S56" i="523"/>
  <c r="S52" i="523"/>
  <c r="H52" i="523"/>
  <c r="S51" i="523"/>
  <c r="H51" i="523"/>
  <c r="S50" i="523"/>
  <c r="S49" i="523"/>
  <c r="H49" i="523"/>
  <c r="S48" i="523"/>
  <c r="H48" i="523"/>
  <c r="S47" i="523"/>
  <c r="S46" i="523"/>
  <c r="S45" i="523"/>
  <c r="H45" i="523"/>
  <c r="S44" i="523"/>
  <c r="S43" i="523"/>
  <c r="S42" i="523"/>
  <c r="S41" i="523"/>
  <c r="S40" i="523"/>
  <c r="S39" i="523"/>
  <c r="S38" i="523"/>
  <c r="S37" i="523"/>
  <c r="P33" i="523"/>
  <c r="E33" i="523"/>
  <c r="P32" i="523"/>
  <c r="E32" i="523"/>
  <c r="P31" i="523"/>
  <c r="E31" i="523"/>
  <c r="P30" i="523"/>
  <c r="P29" i="523"/>
  <c r="P28" i="523"/>
  <c r="S24" i="523"/>
  <c r="H24" i="523"/>
  <c r="S23" i="523"/>
  <c r="S20" i="523"/>
  <c r="H20" i="523"/>
  <c r="S19" i="523"/>
  <c r="S18" i="523"/>
  <c r="P14" i="523"/>
  <c r="E14" i="523"/>
  <c r="P13" i="523"/>
  <c r="E13" i="523"/>
  <c r="Q9" i="523"/>
  <c r="Q8" i="523"/>
  <c r="Q7" i="523"/>
  <c r="Q6" i="523"/>
  <c r="F6" i="523"/>
  <c r="Q5" i="523"/>
  <c r="Q4" i="523"/>
  <c r="F4" i="523"/>
  <c r="P69" i="522" l="1"/>
  <c r="E69" i="522"/>
  <c r="S58" i="522" l="1"/>
  <c r="S57" i="522"/>
  <c r="H57" i="522"/>
  <c r="S56" i="522"/>
  <c r="P101" i="522"/>
  <c r="P33" i="522"/>
  <c r="E33" i="522"/>
  <c r="P32" i="522"/>
  <c r="E32" i="522"/>
  <c r="P31" i="522"/>
  <c r="E31" i="522"/>
  <c r="P30" i="522"/>
  <c r="P29" i="522"/>
  <c r="P28" i="522"/>
  <c r="S24" i="522"/>
  <c r="H24" i="522"/>
  <c r="S23" i="522"/>
  <c r="S20" i="522"/>
  <c r="H20" i="522"/>
  <c r="S19" i="522"/>
  <c r="S18" i="522"/>
  <c r="P97" i="522"/>
  <c r="P96" i="522"/>
  <c r="P95" i="522"/>
  <c r="E14" i="522"/>
  <c r="E13" i="522"/>
  <c r="R65" i="522"/>
  <c r="R64" i="522"/>
  <c r="R63" i="522"/>
  <c r="R62" i="522"/>
  <c r="G62" i="522"/>
  <c r="H45" i="522"/>
  <c r="H48" i="522"/>
  <c r="H49" i="522"/>
  <c r="H51" i="522"/>
  <c r="H52" i="522"/>
  <c r="S50" i="522"/>
  <c r="S43" i="522"/>
  <c r="S42" i="522"/>
  <c r="S37" i="522"/>
  <c r="S38" i="522"/>
  <c r="P91" i="522" l="1"/>
  <c r="P87" i="522"/>
  <c r="P83" i="522"/>
  <c r="P79" i="522"/>
  <c r="Q75" i="522"/>
  <c r="Q74" i="522"/>
  <c r="Q73" i="522"/>
  <c r="S52" i="522"/>
  <c r="S51" i="522"/>
  <c r="S49" i="522"/>
  <c r="S48" i="522"/>
  <c r="S47" i="522"/>
  <c r="S46" i="522"/>
  <c r="S45" i="522"/>
  <c r="S44" i="522"/>
  <c r="S41" i="522"/>
  <c r="S40" i="522"/>
  <c r="S39" i="522"/>
  <c r="P14" i="522"/>
  <c r="P13" i="522"/>
  <c r="Q9" i="522"/>
  <c r="F9" i="522"/>
  <c r="Q8" i="522"/>
  <c r="F8" i="522"/>
  <c r="Q7" i="522"/>
  <c r="F7" i="522"/>
  <c r="Q6" i="522"/>
  <c r="F6" i="522"/>
  <c r="Q5" i="522"/>
  <c r="F5" i="522"/>
  <c r="Q4" i="522"/>
  <c r="F4" i="522"/>
</calcChain>
</file>

<file path=xl/sharedStrings.xml><?xml version="1.0" encoding="utf-8"?>
<sst xmlns="http://schemas.openxmlformats.org/spreadsheetml/2006/main" count="2209" uniqueCount="215">
  <si>
    <t xml:space="preserve"> 生产差异</t>
  </si>
  <si>
    <t xml:space="preserve"> 可走货库存</t>
  </si>
  <si>
    <t xml:space="preserve"> 不可走货库存</t>
  </si>
  <si>
    <t xml:space="preserve"> Wip 数量</t>
  </si>
  <si>
    <t>成品仓</t>
  </si>
  <si>
    <t>QA 仓</t>
  </si>
  <si>
    <t>6级布</t>
  </si>
  <si>
    <t>非6级布</t>
  </si>
  <si>
    <t>QC</t>
  </si>
  <si>
    <t>后整理</t>
  </si>
  <si>
    <t>染厂</t>
  </si>
  <si>
    <t>定胚</t>
  </si>
  <si>
    <t>ZJ14582A</t>
  </si>
  <si>
    <t>kho</t>
  </si>
  <si>
    <t xml:space="preserve">14299 đen </t>
  </si>
  <si>
    <t xml:space="preserve">khổ hẹp từ tháng 7 do màu nên ko xử lý đc </t>
  </si>
  <si>
    <t>áo</t>
  </si>
  <si>
    <t xml:space="preserve">hoa kim đã bù đơn </t>
  </si>
  <si>
    <t>Sum of QTY（KG）</t>
  </si>
  <si>
    <t>Shipping Date</t>
  </si>
  <si>
    <t>Fabric code</t>
  </si>
  <si>
    <t>Recipe No.</t>
  </si>
  <si>
    <t>0006081568A4</t>
  </si>
  <si>
    <t xml:space="preserve">0012 ms xuống kế hoạch </t>
  </si>
  <si>
    <t xml:space="preserve">đi hàng mẫu </t>
  </si>
  <si>
    <t>ZH00063A</t>
  </si>
  <si>
    <t>P203320_01</t>
  </si>
  <si>
    <t>松布</t>
  </si>
  <si>
    <t>0006084553A2</t>
  </si>
  <si>
    <t>P193827_01</t>
  </si>
  <si>
    <t>Color name</t>
  </si>
  <si>
    <t>03 浅灰色/ XÁM</t>
  </si>
  <si>
    <t>10 粉红/PINK</t>
  </si>
  <si>
    <t>09 黑/MÀU ĐEN</t>
  </si>
  <si>
    <t xml:space="preserve">Wip 总数 </t>
  </si>
  <si>
    <t>预计完成时间</t>
  </si>
  <si>
    <t>P203326_01</t>
  </si>
  <si>
    <t>31 卡其/BEIGE</t>
  </si>
  <si>
    <t>P203593_01</t>
  </si>
  <si>
    <t>34 木啡/BROWN</t>
  </si>
  <si>
    <t>织厂</t>
  </si>
  <si>
    <t>P193824_03</t>
  </si>
  <si>
    <t>78(79 暗紫/DARK PURPLE</t>
  </si>
  <si>
    <t>P203319_01</t>
  </si>
  <si>
    <t>11 桃红/PINK</t>
  </si>
  <si>
    <t>P203591_01</t>
  </si>
  <si>
    <t>51 浅绿/GREEN</t>
  </si>
  <si>
    <t>P203904_01</t>
  </si>
  <si>
    <t>41(CL8 黄色/YELLOW</t>
  </si>
  <si>
    <t>P203905_01</t>
  </si>
  <si>
    <t>55(58 深绿/DARK GREEN</t>
  </si>
  <si>
    <t>P193826_01</t>
  </si>
  <si>
    <t>09 黑色/ ĐEN</t>
  </si>
  <si>
    <t>P203321_01</t>
  </si>
  <si>
    <t>15 深玫红/RED</t>
  </si>
  <si>
    <t>P164808_15</t>
  </si>
  <si>
    <t>69 寶藍/MÀU XANH NGỌC BÍCH</t>
  </si>
  <si>
    <t>P164809_04</t>
  </si>
  <si>
    <t>满足走货</t>
  </si>
  <si>
    <t>已完成</t>
  </si>
  <si>
    <t>P200023_01</t>
  </si>
  <si>
    <t>59(58 深綠XANH ĐẬM</t>
  </si>
  <si>
    <t>ZJ15057A</t>
  </si>
  <si>
    <t>P193819_01</t>
  </si>
  <si>
    <t>69 藏蓝/NAVY</t>
  </si>
  <si>
    <t>P193820_01</t>
  </si>
  <si>
    <t>07 中灰/XÁM</t>
  </si>
  <si>
    <t>P193821_01</t>
  </si>
  <si>
    <t>30 米白/ TRẮNG NGÀ</t>
  </si>
  <si>
    <t>P203199_01</t>
  </si>
  <si>
    <t>58 深绿/DARK GREEN</t>
  </si>
  <si>
    <t>C137396_02</t>
  </si>
  <si>
    <t>00 漂白/TRẮNG</t>
  </si>
  <si>
    <t>待定</t>
  </si>
  <si>
    <t>ZJ14764A</t>
  </si>
  <si>
    <t>P04A345_81</t>
  </si>
  <si>
    <t>07 深灰/MÀU XÁM ĐẬM</t>
  </si>
  <si>
    <t>ZJ15249A</t>
  </si>
  <si>
    <t>ZRP0037A</t>
  </si>
  <si>
    <t>C137396_84</t>
  </si>
  <si>
    <t>00 白TRẮNG</t>
  </si>
  <si>
    <t>P164809_77</t>
  </si>
  <si>
    <t>09 黑 MÀU ĐEN</t>
  </si>
  <si>
    <t>P103652_56</t>
  </si>
  <si>
    <t>02 花灰藍/XANH XÁM</t>
  </si>
  <si>
    <t>ZRP0014A</t>
  </si>
  <si>
    <t>C137396_62</t>
  </si>
  <si>
    <t>00 白/MÀU TRẮNG</t>
  </si>
  <si>
    <t>P164809_45</t>
  </si>
  <si>
    <t>09 黑/MÀU ÐEN</t>
  </si>
  <si>
    <t>P164808_19</t>
  </si>
  <si>
    <t>69 寶藍/NAVY</t>
  </si>
  <si>
    <t>ZRP0030A</t>
  </si>
  <si>
    <t>P103652_70</t>
  </si>
  <si>
    <t>02 花灰藍/MÀU XÁM XANH</t>
  </si>
  <si>
    <t>GSI</t>
  </si>
  <si>
    <t>、</t>
  </si>
  <si>
    <t>P166157_11</t>
  </si>
  <si>
    <t>32 卡其/BEIGE</t>
  </si>
  <si>
    <t>ZJ15250A</t>
  </si>
  <si>
    <t>P193116_01</t>
  </si>
  <si>
    <t>01 米 白/ TRẮNG</t>
  </si>
  <si>
    <t>P195679_01</t>
  </si>
  <si>
    <t>08 深花灰/ XÁM ĐẬM</t>
  </si>
  <si>
    <t>P195680_01</t>
  </si>
  <si>
    <t>69 宝蓝/NAVY</t>
  </si>
  <si>
    <t>8月23日</t>
  </si>
  <si>
    <t>01 米白/ TRẮNG GẠO</t>
  </si>
  <si>
    <t>OD03186A</t>
  </si>
  <si>
    <t>P131315_14</t>
  </si>
  <si>
    <t>P132467_05</t>
  </si>
  <si>
    <t>17 深玫紅/RED</t>
  </si>
  <si>
    <t>P141994_18</t>
  </si>
  <si>
    <t>07 深灰XÁM ĐẬM</t>
  </si>
  <si>
    <t>P156577_09</t>
  </si>
  <si>
    <t>11 灰紅/PINK</t>
  </si>
  <si>
    <t>P188711_04</t>
  </si>
  <si>
    <t>69 夜藍ĐÊM XANH</t>
  </si>
  <si>
    <t>P188912_07</t>
  </si>
  <si>
    <t>70 霧灰/LIGHT PURPLE</t>
  </si>
  <si>
    <t>P203081_01</t>
  </si>
  <si>
    <t>42 杏黄/YELLOW</t>
  </si>
  <si>
    <t>OR05890A</t>
  </si>
  <si>
    <t>C136854_01</t>
  </si>
  <si>
    <t>00 白/TRẮNG</t>
  </si>
  <si>
    <t>P132467_03</t>
  </si>
  <si>
    <t>P141994_15</t>
  </si>
  <si>
    <t>P156577_05</t>
  </si>
  <si>
    <t>OJ06827A</t>
  </si>
  <si>
    <t>C136689_05</t>
  </si>
  <si>
    <t>P131315_22</t>
  </si>
  <si>
    <t>09 黑色/ MÀU ĐEN</t>
  </si>
  <si>
    <t>P141994_22</t>
  </si>
  <si>
    <t>P188711_06</t>
  </si>
  <si>
    <t>8月24日</t>
  </si>
  <si>
    <t>8月25日</t>
  </si>
  <si>
    <t>P203261_01</t>
  </si>
  <si>
    <t>79 暗紫/DARK PURPLE</t>
  </si>
  <si>
    <t>P203592_01</t>
  </si>
  <si>
    <t>56 该榄绿/DARK GREEN</t>
  </si>
  <si>
    <t>08 麻灰色/DARK GRAY</t>
  </si>
  <si>
    <t>8月27日</t>
  </si>
  <si>
    <t>YH00064A</t>
  </si>
  <si>
    <t>P193341_01</t>
  </si>
  <si>
    <t>09 黑/ ÐEN</t>
  </si>
  <si>
    <t>P203200_01</t>
  </si>
  <si>
    <t>18 酒红/WINE</t>
  </si>
  <si>
    <t>ZHP0051A</t>
  </si>
  <si>
    <t>P190890_14</t>
  </si>
  <si>
    <t>08 深花灰/XÁM</t>
  </si>
  <si>
    <t>ZH00065A</t>
  </si>
  <si>
    <t>P201788_06</t>
  </si>
  <si>
    <t>8月28日</t>
  </si>
  <si>
    <t>P203318_01</t>
  </si>
  <si>
    <t>76 紫色/PURPLE</t>
  </si>
  <si>
    <t>P203322_01</t>
  </si>
  <si>
    <t>59 深湖绿/DARK GREEN</t>
  </si>
  <si>
    <t>P203325_01</t>
  </si>
  <si>
    <t>57 榄绿/OLIVE</t>
  </si>
  <si>
    <t>P193074_01</t>
  </si>
  <si>
    <t>8月29日</t>
  </si>
  <si>
    <t>TORAY 2026/08/22</t>
  </si>
  <si>
    <t>P196124_01</t>
  </si>
  <si>
    <t>05(06 中灰/MEDIUM GRAY</t>
  </si>
  <si>
    <t>P196125_01</t>
  </si>
  <si>
    <t>66(68 暗藍/BLUE</t>
  </si>
  <si>
    <t>P197969_01</t>
  </si>
  <si>
    <t>38 深棕/DARK BROWN</t>
  </si>
  <si>
    <t>P194681_01</t>
  </si>
  <si>
    <t>P203499_02</t>
  </si>
  <si>
    <t>70 浅紫/PURPLE</t>
  </si>
  <si>
    <t>8月30日</t>
  </si>
  <si>
    <t>OD03186A-17 深玫紅/RED-0006088213A2-待QA查布  ；   07 深灰XÁM ĐẬM-0006088213A5-待QA查布
11 灰紅/PINK-0006088213A4-加P   ；    69 夜藍ĐÊM XANH- 0006088213A0-待QA查布
70 霧灰/LIGHT PURPLE-0006088213A1-待QA查布   ；     42 杏黄/YELLOW- 0006088213A3-待QTC结果</t>
  </si>
  <si>
    <t>OR05890A-17 深玫紅/RED-0006088214A0- QTC NG-染厂处理 ;       11 灰紅/PINK- 0006088214A1-待整理厂</t>
  </si>
  <si>
    <t>TORAY 2026/08/24</t>
  </si>
  <si>
    <t xml:space="preserve">OD03186A-17 深玫紅/RED-0006088213A2- OK ；
11 灰紅/PINK-6088213A4R01-OK   
</t>
  </si>
  <si>
    <t>OR05890A-17 深玫紅/RED-0006088214A0-退整理厂;       11 灰紅/PINK- 0006088214A1-N</t>
  </si>
  <si>
    <t xml:space="preserve"> </t>
  </si>
  <si>
    <t>9月02日</t>
  </si>
  <si>
    <t>ZJ14582A-59(58 深綠 0006088083A1 起横0006088083A0 颜色NG 0006088083A3待定胚</t>
  </si>
  <si>
    <t>09月01日</t>
  </si>
  <si>
    <t>ZJ15057A-5656 该榄绿/DARK GREEN-0006088286A0 待后整</t>
  </si>
  <si>
    <t>TORAY 2026/08/25</t>
  </si>
  <si>
    <t>ZJ15057A-56 该榄绿/DARK GREEN-0006088286A0-待整理厂</t>
  </si>
  <si>
    <t>P201677_01</t>
  </si>
  <si>
    <t>68 暗藍XANH ĐẬM</t>
  </si>
  <si>
    <t>P196125_03</t>
  </si>
  <si>
    <t>67(66 暗藍/XANH ĐẬM</t>
  </si>
  <si>
    <t>P200023_02</t>
  </si>
  <si>
    <t>56(59 欖綠 XANH</t>
  </si>
  <si>
    <t>P147022_18</t>
  </si>
  <si>
    <t>02 淺灰/LIGHT GRAY</t>
  </si>
  <si>
    <t>9月04日</t>
  </si>
  <si>
    <t>9月05日</t>
  </si>
  <si>
    <t>TORAY 2026/08/26</t>
  </si>
  <si>
    <t>ZJ15057A-56 该榄绿/DARK GREEN-0006088286A0-颜色NG</t>
  </si>
  <si>
    <t>ZH00063A-69 宝蓝/NAVY-0006088385A0/0006088385A1-待染厂
58 深绿/DARK GREEN- 0006088241A2/0006088385A5-待染厂
18 酒红/WINE-0006088241A3-待整理厂； 0006088385A2-待染厂</t>
  </si>
  <si>
    <t>ZJ14582A-59(58 深綠XANH ĐẬM-0006088083A3-松布  ;  0006088083A4-定胚</t>
  </si>
  <si>
    <t>P147022_16</t>
  </si>
  <si>
    <t>P152247_11</t>
  </si>
  <si>
    <t>58 暗綠/DARK GREEN</t>
  </si>
  <si>
    <t>P193802_01</t>
  </si>
  <si>
    <t>50 青灰/LIGHT GREEN</t>
  </si>
  <si>
    <t>P131315_31</t>
  </si>
  <si>
    <t>P152247_12</t>
  </si>
  <si>
    <t>P188711_05</t>
  </si>
  <si>
    <t>69 夜藍/NAVY</t>
  </si>
  <si>
    <t>P193802_02</t>
  </si>
  <si>
    <t>P203081_02</t>
  </si>
  <si>
    <t>P147022_19</t>
  </si>
  <si>
    <t>P152247_13</t>
  </si>
  <si>
    <t>P193802_03</t>
  </si>
  <si>
    <t>P203081_03</t>
  </si>
  <si>
    <t>8月31日</t>
  </si>
  <si>
    <t>9月06日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</si>
</sst>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81B3A"/>
      <name val="Segoe UI"/>
      <family val="2"/>
    </font>
    <font>
      <sz val="9"/>
      <color rgb="FF333333"/>
      <name val="MS Serif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rgb="FFFFFF00"/>
        <bgColor theme="4"/>
      </patternFill>
    </fill>
    <fill>
      <patternFill patternType="solid">
        <fgColor theme="9" tint="0.79998168889431442"/>
        <bgColor theme="9" tint="-0.249977111117893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26">
    <xf numFmtId="0" fontId="0" fillId="0" borderId="0" xfId="0"/>
    <xf numFmtId="0" fontId="0" fillId="0" borderId="0" xfId="0" applyAlignment="1">
      <alignment vertical="top"/>
    </xf>
    <xf numFmtId="49" fontId="3" fillId="3" borderId="7" xfId="0" applyNumberFormat="1" applyFont="1" applyFill="1" applyBorder="1" applyAlignment="1">
      <alignment horizontal="left" vertical="center"/>
    </xf>
    <xf numFmtId="0" fontId="2" fillId="0" borderId="0" xfId="0" applyFont="1"/>
    <xf numFmtId="1" fontId="6" fillId="0" borderId="6" xfId="0" applyNumberFormat="1" applyFont="1" applyBorder="1" applyAlignment="1">
      <alignment horizontal="center" vertical="center"/>
    </xf>
    <xf numFmtId="1" fontId="6" fillId="7" borderId="6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/>
    </xf>
    <xf numFmtId="0" fontId="8" fillId="5" borderId="8" xfId="0" applyFont="1" applyFill="1" applyBorder="1" applyAlignment="1">
      <alignment vertical="top"/>
    </xf>
    <xf numFmtId="14" fontId="7" fillId="8" borderId="6" xfId="0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 wrapText="1"/>
    </xf>
    <xf numFmtId="3" fontId="6" fillId="10" borderId="6" xfId="0" applyNumberFormat="1" applyFont="1" applyFill="1" applyBorder="1" applyAlignment="1">
      <alignment horizontal="center" vertical="center"/>
    </xf>
    <xf numFmtId="0" fontId="0" fillId="0" borderId="0" xfId="0" applyFont="1"/>
    <xf numFmtId="1" fontId="6" fillId="0" borderId="0" xfId="0" applyNumberFormat="1" applyFont="1" applyBorder="1" applyAlignment="1">
      <alignment horizontal="center" vertical="center"/>
    </xf>
    <xf numFmtId="3" fontId="6" fillId="10" borderId="0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vertical="center"/>
    </xf>
    <xf numFmtId="1" fontId="6" fillId="2" borderId="1" xfId="0" applyNumberFormat="1" applyFont="1" applyFill="1" applyBorder="1" applyAlignment="1">
      <alignment vertical="center" wrapText="1"/>
    </xf>
    <xf numFmtId="1" fontId="6" fillId="2" borderId="2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vertical="center"/>
    </xf>
    <xf numFmtId="1" fontId="6" fillId="6" borderId="1" xfId="0" applyNumberFormat="1" applyFont="1" applyFill="1" applyBorder="1" applyAlignment="1">
      <alignment vertical="center" wrapText="1"/>
    </xf>
    <xf numFmtId="1" fontId="6" fillId="2" borderId="5" xfId="0" applyNumberFormat="1" applyFont="1" applyFill="1" applyBorder="1" applyAlignment="1">
      <alignment vertical="center" wrapText="1"/>
    </xf>
    <xf numFmtId="1" fontId="6" fillId="6" borderId="5" xfId="0" applyNumberFormat="1" applyFont="1" applyFill="1" applyBorder="1" applyAlignment="1">
      <alignment vertical="center" wrapText="1"/>
    </xf>
    <xf numFmtId="1" fontId="1" fillId="0" borderId="6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Font="1" applyBorder="1"/>
    <xf numFmtId="0" fontId="13" fillId="0" borderId="0" xfId="0" applyFont="1" applyFill="1" applyBorder="1" applyAlignment="1">
      <alignment vertical="center" wrapText="1"/>
    </xf>
    <xf numFmtId="0" fontId="12" fillId="0" borderId="0" xfId="0" applyFont="1" applyBorder="1" applyAlignment="1"/>
    <xf numFmtId="0" fontId="12" fillId="0" borderId="10" xfId="0" applyFont="1" applyBorder="1" applyAlignment="1"/>
    <xf numFmtId="1" fontId="6" fillId="10" borderId="6" xfId="0" applyNumberFormat="1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11" fillId="0" borderId="0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horizontal="center" vertical="center"/>
    </xf>
    <xf numFmtId="1" fontId="6" fillId="2" borderId="6" xfId="0" applyNumberFormat="1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1" fontId="6" fillId="2" borderId="6" xfId="0" applyNumberFormat="1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1" fontId="6" fillId="2" borderId="6" xfId="0" applyNumberFormat="1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3" fontId="6" fillId="10" borderId="3" xfId="0" applyNumberFormat="1" applyFont="1" applyFill="1" applyBorder="1" applyAlignment="1">
      <alignment horizontal="center" vertical="center"/>
    </xf>
    <xf numFmtId="3" fontId="6" fillId="10" borderId="2" xfId="0" applyNumberFormat="1" applyFont="1" applyFill="1" applyBorder="1" applyAlignment="1">
      <alignment horizontal="center" vertical="center"/>
    </xf>
    <xf numFmtId="3" fontId="6" fillId="10" borderId="4" xfId="0" applyNumberFormat="1" applyFont="1" applyFill="1" applyBorder="1" applyAlignment="1">
      <alignment horizontal="center" vertical="center"/>
    </xf>
    <xf numFmtId="3" fontId="6" fillId="10" borderId="1" xfId="0" applyNumberFormat="1" applyFont="1" applyFill="1" applyBorder="1" applyAlignment="1">
      <alignment horizontal="center" vertical="center"/>
    </xf>
    <xf numFmtId="1" fontId="6" fillId="2" borderId="6" xfId="0" applyNumberFormat="1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1" fontId="6" fillId="2" borderId="6" xfId="0" applyNumberFormat="1" applyFont="1" applyFill="1" applyBorder="1" applyAlignment="1">
      <alignment vertical="center" wrapText="1"/>
    </xf>
    <xf numFmtId="1" fontId="6" fillId="2" borderId="6" xfId="0" applyNumberFormat="1" applyFont="1" applyFill="1" applyBorder="1" applyAlignment="1">
      <alignment vertical="center"/>
    </xf>
    <xf numFmtId="1" fontId="6" fillId="6" borderId="6" xfId="0" applyNumberFormat="1" applyFont="1" applyFill="1" applyBorder="1" applyAlignment="1">
      <alignment vertical="center" wrapText="1"/>
    </xf>
    <xf numFmtId="0" fontId="12" fillId="0" borderId="10" xfId="0" applyFont="1" applyBorder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1" fontId="6" fillId="2" borderId="5" xfId="0" applyNumberFormat="1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6" borderId="2" xfId="0" applyNumberFormat="1" applyFont="1" applyFill="1" applyBorder="1" applyAlignment="1">
      <alignment horizontal="center" vertical="center"/>
    </xf>
    <xf numFmtId="1" fontId="6" fillId="6" borderId="4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 wrapText="1"/>
    </xf>
    <xf numFmtId="1" fontId="6" fillId="6" borderId="5" xfId="0" applyNumberFormat="1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1" fontId="6" fillId="2" borderId="6" xfId="0" applyNumberFormat="1" applyFont="1" applyFill="1" applyBorder="1" applyAlignment="1">
      <alignment horizontal="center" vertical="center"/>
    </xf>
    <xf numFmtId="1" fontId="6" fillId="2" borderId="6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13</xdr:row>
      <xdr:rowOff>0</xdr:rowOff>
    </xdr:from>
    <xdr:to>
      <xdr:col>25</xdr:col>
      <xdr:colOff>84876</xdr:colOff>
      <xdr:row>17</xdr:row>
      <xdr:rowOff>9429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495550"/>
          <a:ext cx="6790476" cy="7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"/>
  <sheetViews>
    <sheetView topLeftCell="A46" zoomScaleNormal="100" workbookViewId="0">
      <selection activeCell="U39" sqref="U39"/>
    </sheetView>
  </sheetViews>
  <sheetFormatPr defaultRowHeight="15" x14ac:dyDescent="0.25"/>
  <cols>
    <col min="1" max="1" width="11" bestFit="1" customWidth="1"/>
    <col min="2" max="2" width="11.42578125" bestFit="1" customWidth="1"/>
    <col min="3" max="3" width="29.28515625" bestFit="1" customWidth="1"/>
    <col min="4" max="4" width="13.42578125" bestFit="1" customWidth="1"/>
    <col min="5" max="8" width="10" bestFit="1" customWidth="1"/>
  </cols>
  <sheetData>
    <row r="1" spans="1:26" ht="23.25" x14ac:dyDescent="0.35">
      <c r="A1" s="80" t="s">
        <v>161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29"/>
      <c r="R1" s="28"/>
      <c r="S1" s="28"/>
      <c r="T1" s="28"/>
      <c r="U1" s="28"/>
    </row>
    <row r="2" spans="1:26" x14ac:dyDescent="0.25">
      <c r="A2" s="81" t="s">
        <v>18</v>
      </c>
      <c r="B2" s="82"/>
      <c r="C2" s="83" t="s">
        <v>30</v>
      </c>
      <c r="D2" s="94" t="s">
        <v>19</v>
      </c>
      <c r="E2" s="96"/>
      <c r="F2" s="85" t="s">
        <v>0</v>
      </c>
      <c r="G2" s="87" t="s">
        <v>1</v>
      </c>
      <c r="H2" s="88"/>
      <c r="I2" s="87" t="s">
        <v>2</v>
      </c>
      <c r="J2" s="88"/>
      <c r="K2" s="89" t="s">
        <v>3</v>
      </c>
      <c r="L2" s="90"/>
      <c r="M2" s="90"/>
      <c r="N2" s="90"/>
      <c r="O2" s="90"/>
      <c r="P2" s="91"/>
      <c r="Q2" s="92" t="s">
        <v>34</v>
      </c>
      <c r="R2" s="98" t="s">
        <v>35</v>
      </c>
    </row>
    <row r="3" spans="1:26" x14ac:dyDescent="0.25">
      <c r="A3" s="34" t="s">
        <v>20</v>
      </c>
      <c r="B3" s="34" t="s">
        <v>21</v>
      </c>
      <c r="C3" s="84"/>
      <c r="D3" s="10">
        <v>46258</v>
      </c>
      <c r="E3" s="10">
        <v>46264</v>
      </c>
      <c r="F3" s="86"/>
      <c r="G3" s="35" t="s">
        <v>4</v>
      </c>
      <c r="H3" s="35" t="s">
        <v>5</v>
      </c>
      <c r="I3" s="35" t="s">
        <v>6</v>
      </c>
      <c r="J3" s="35" t="s">
        <v>7</v>
      </c>
      <c r="K3" s="36" t="s">
        <v>8</v>
      </c>
      <c r="L3" s="5" t="s">
        <v>9</v>
      </c>
      <c r="M3" s="5" t="s">
        <v>27</v>
      </c>
      <c r="N3" s="36" t="s">
        <v>10</v>
      </c>
      <c r="O3" s="36" t="s">
        <v>11</v>
      </c>
      <c r="P3" s="12" t="s">
        <v>40</v>
      </c>
      <c r="Q3" s="93"/>
      <c r="R3" s="98"/>
    </row>
    <row r="4" spans="1:26" x14ac:dyDescent="0.25">
      <c r="A4" s="100" t="s">
        <v>108</v>
      </c>
      <c r="B4" s="6" t="s">
        <v>110</v>
      </c>
      <c r="C4" s="7" t="s">
        <v>111</v>
      </c>
      <c r="D4" s="8">
        <v>1013.6127102621931</v>
      </c>
      <c r="E4" s="8"/>
      <c r="F4" s="11">
        <f>G4+H4-D4-E4</f>
        <v>-1013.6127102621931</v>
      </c>
      <c r="G4" s="8"/>
      <c r="H4" s="8"/>
      <c r="I4" s="8"/>
      <c r="J4" s="8"/>
      <c r="K4" s="13">
        <v>1736</v>
      </c>
      <c r="L4" s="13"/>
      <c r="M4" s="13"/>
      <c r="N4" s="13"/>
      <c r="O4" s="13"/>
      <c r="P4" s="13"/>
      <c r="Q4" s="13">
        <f t="shared" ref="Q4:Q9" si="0">P4+O4+N4+M4+L4+K4</f>
        <v>1736</v>
      </c>
      <c r="R4" s="4" t="s">
        <v>134</v>
      </c>
    </row>
    <row r="5" spans="1:26" x14ac:dyDescent="0.25">
      <c r="A5" s="100"/>
      <c r="B5" s="6" t="s">
        <v>112</v>
      </c>
      <c r="C5" s="7" t="s">
        <v>113</v>
      </c>
      <c r="D5" s="8">
        <v>322.26271603737445</v>
      </c>
      <c r="E5" s="8">
        <v>106.7648650127358</v>
      </c>
      <c r="F5" s="11">
        <f t="shared" ref="F5:F9" si="1">G5+H5-D5-E5</f>
        <v>-429.02758105011026</v>
      </c>
      <c r="G5" s="8"/>
      <c r="H5" s="8"/>
      <c r="I5" s="8"/>
      <c r="J5" s="8"/>
      <c r="K5" s="13">
        <v>1172</v>
      </c>
      <c r="L5" s="13"/>
      <c r="M5" s="13"/>
      <c r="N5" s="13"/>
      <c r="O5" s="13"/>
      <c r="P5" s="13"/>
      <c r="Q5" s="13">
        <f t="shared" si="0"/>
        <v>1172</v>
      </c>
      <c r="R5" s="4" t="s">
        <v>134</v>
      </c>
    </row>
    <row r="6" spans="1:26" x14ac:dyDescent="0.25">
      <c r="A6" s="100"/>
      <c r="B6" s="6" t="s">
        <v>114</v>
      </c>
      <c r="C6" s="7" t="s">
        <v>115</v>
      </c>
      <c r="D6" s="8">
        <v>20.004164209681669</v>
      </c>
      <c r="E6" s="8"/>
      <c r="F6" s="11">
        <f t="shared" si="1"/>
        <v>-20.004164209681669</v>
      </c>
      <c r="G6" s="8"/>
      <c r="H6" s="8"/>
      <c r="I6" s="8"/>
      <c r="J6" s="8"/>
      <c r="K6" s="13"/>
      <c r="L6" s="13"/>
      <c r="M6" s="13">
        <v>296.5</v>
      </c>
      <c r="N6" s="13"/>
      <c r="O6" s="13"/>
      <c r="P6" s="13"/>
      <c r="Q6" s="13">
        <f t="shared" si="0"/>
        <v>296.5</v>
      </c>
      <c r="R6" s="4" t="s">
        <v>160</v>
      </c>
    </row>
    <row r="7" spans="1:26" x14ac:dyDescent="0.25">
      <c r="A7" s="100"/>
      <c r="B7" s="6" t="s">
        <v>116</v>
      </c>
      <c r="C7" s="7" t="s">
        <v>117</v>
      </c>
      <c r="D7" s="8">
        <v>316.40394657653331</v>
      </c>
      <c r="E7" s="8">
        <v>20.517091497109369</v>
      </c>
      <c r="F7" s="11">
        <f t="shared" si="1"/>
        <v>-336.92103807364271</v>
      </c>
      <c r="G7" s="8"/>
      <c r="H7" s="8"/>
      <c r="I7" s="8"/>
      <c r="J7" s="8"/>
      <c r="K7" s="13"/>
      <c r="L7" s="13">
        <v>1163</v>
      </c>
      <c r="M7" s="13"/>
      <c r="N7" s="13"/>
      <c r="O7" s="13"/>
      <c r="P7" s="13"/>
      <c r="Q7" s="13">
        <f t="shared" si="0"/>
        <v>1163</v>
      </c>
      <c r="R7" s="4" t="s">
        <v>141</v>
      </c>
    </row>
    <row r="8" spans="1:26" x14ac:dyDescent="0.25">
      <c r="A8" s="100"/>
      <c r="B8" s="6" t="s">
        <v>118</v>
      </c>
      <c r="C8" s="7" t="s">
        <v>119</v>
      </c>
      <c r="D8" s="8">
        <v>1179.4516009410506</v>
      </c>
      <c r="E8" s="8"/>
      <c r="F8" s="11">
        <f t="shared" si="1"/>
        <v>-1152.9916009410506</v>
      </c>
      <c r="G8" s="8">
        <v>0</v>
      </c>
      <c r="H8" s="8">
        <v>26.46</v>
      </c>
      <c r="I8" s="8">
        <v>0</v>
      </c>
      <c r="J8" s="8">
        <v>0</v>
      </c>
      <c r="K8" s="13">
        <v>1724</v>
      </c>
      <c r="L8" s="13"/>
      <c r="M8" s="13"/>
      <c r="N8" s="13"/>
      <c r="O8" s="13"/>
      <c r="P8" s="13"/>
      <c r="Q8" s="13">
        <f t="shared" si="0"/>
        <v>1724</v>
      </c>
      <c r="R8" s="4" t="s">
        <v>134</v>
      </c>
    </row>
    <row r="9" spans="1:26" x14ac:dyDescent="0.25">
      <c r="A9" s="101"/>
      <c r="B9" s="6" t="s">
        <v>120</v>
      </c>
      <c r="C9" s="7" t="s">
        <v>121</v>
      </c>
      <c r="D9" s="8">
        <v>165.61852191833287</v>
      </c>
      <c r="E9" s="8"/>
      <c r="F9" s="11">
        <f t="shared" si="1"/>
        <v>-165.61852191833287</v>
      </c>
      <c r="G9" s="8"/>
      <c r="H9" s="8"/>
      <c r="I9" s="8"/>
      <c r="J9" s="8"/>
      <c r="K9" s="13">
        <v>290.5</v>
      </c>
      <c r="L9" s="13"/>
      <c r="M9" s="13"/>
      <c r="N9" s="13"/>
      <c r="O9" s="13"/>
      <c r="P9" s="13"/>
      <c r="Q9" s="13">
        <f t="shared" si="0"/>
        <v>290.5</v>
      </c>
      <c r="R9" s="4" t="s">
        <v>134</v>
      </c>
    </row>
    <row r="10" spans="1:26" ht="80.25" customHeight="1" x14ac:dyDescent="0.25">
      <c r="A10" s="111" t="s">
        <v>172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</row>
    <row r="11" spans="1:26" x14ac:dyDescent="0.25">
      <c r="A11" s="81" t="s">
        <v>18</v>
      </c>
      <c r="B11" s="82"/>
      <c r="C11" s="83" t="s">
        <v>30</v>
      </c>
      <c r="D11" s="17" t="s">
        <v>19</v>
      </c>
      <c r="E11" s="85" t="s">
        <v>0</v>
      </c>
      <c r="F11" s="87" t="s">
        <v>1</v>
      </c>
      <c r="G11" s="88"/>
      <c r="H11" s="87" t="s">
        <v>2</v>
      </c>
      <c r="I11" s="88"/>
      <c r="J11" s="89" t="s">
        <v>3</v>
      </c>
      <c r="K11" s="90"/>
      <c r="L11" s="90"/>
      <c r="M11" s="90"/>
      <c r="N11" s="90"/>
      <c r="O11" s="91"/>
      <c r="P11" s="92" t="s">
        <v>34</v>
      </c>
      <c r="Q11" s="98" t="s">
        <v>35</v>
      </c>
    </row>
    <row r="12" spans="1:26" x14ac:dyDescent="0.25">
      <c r="A12" s="34" t="s">
        <v>20</v>
      </c>
      <c r="B12" s="34" t="s">
        <v>21</v>
      </c>
      <c r="C12" s="84"/>
      <c r="D12" s="10">
        <v>46258</v>
      </c>
      <c r="E12" s="86"/>
      <c r="F12" s="35" t="s">
        <v>4</v>
      </c>
      <c r="G12" s="35" t="s">
        <v>5</v>
      </c>
      <c r="H12" s="35" t="s">
        <v>6</v>
      </c>
      <c r="I12" s="35" t="s">
        <v>7</v>
      </c>
      <c r="J12" s="36" t="s">
        <v>8</v>
      </c>
      <c r="K12" s="5" t="s">
        <v>9</v>
      </c>
      <c r="L12" s="5" t="s">
        <v>27</v>
      </c>
      <c r="M12" s="36" t="s">
        <v>10</v>
      </c>
      <c r="N12" s="36" t="s">
        <v>11</v>
      </c>
      <c r="O12" s="12" t="s">
        <v>40</v>
      </c>
      <c r="P12" s="93"/>
      <c r="Q12" s="98"/>
    </row>
    <row r="13" spans="1:26" x14ac:dyDescent="0.25">
      <c r="A13" s="100" t="s">
        <v>122</v>
      </c>
      <c r="B13" s="6" t="s">
        <v>125</v>
      </c>
      <c r="C13" s="7" t="s">
        <v>111</v>
      </c>
      <c r="D13" s="8">
        <v>44.707863445596594</v>
      </c>
      <c r="E13" s="11">
        <f>F13+G13-D13</f>
        <v>-44.707863445596594</v>
      </c>
      <c r="F13" s="8">
        <v>0</v>
      </c>
      <c r="G13" s="8">
        <v>0</v>
      </c>
      <c r="H13" s="8">
        <v>50.14</v>
      </c>
      <c r="I13" s="8">
        <v>68.81</v>
      </c>
      <c r="J13" s="13"/>
      <c r="K13" s="13"/>
      <c r="L13" s="13"/>
      <c r="M13" s="13"/>
      <c r="N13" s="13"/>
      <c r="O13" s="13"/>
      <c r="P13" s="13">
        <f t="shared" ref="P13:P14" si="2">O13+N13+M13+L13+K13+J13</f>
        <v>0</v>
      </c>
      <c r="Q13" s="4" t="s">
        <v>134</v>
      </c>
    </row>
    <row r="14" spans="1:26" x14ac:dyDescent="0.25">
      <c r="A14" s="101"/>
      <c r="B14" s="6" t="s">
        <v>127</v>
      </c>
      <c r="C14" s="7" t="s">
        <v>115</v>
      </c>
      <c r="D14" s="8">
        <v>10.564002846737802</v>
      </c>
      <c r="E14" s="11">
        <f>F14+G14-D14</f>
        <v>-10.564002846737802</v>
      </c>
      <c r="F14" s="8"/>
      <c r="G14" s="8"/>
      <c r="H14" s="8"/>
      <c r="I14" s="8"/>
      <c r="J14" s="13"/>
      <c r="K14" s="13">
        <v>122</v>
      </c>
      <c r="L14" s="13"/>
      <c r="M14" s="13"/>
      <c r="N14" s="13"/>
      <c r="O14" s="13"/>
      <c r="P14" s="13">
        <f t="shared" si="2"/>
        <v>122</v>
      </c>
      <c r="Q14" s="4" t="s">
        <v>141</v>
      </c>
    </row>
    <row r="15" spans="1:26" s="14" customFormat="1" ht="36" customHeight="1" x14ac:dyDescent="0.25">
      <c r="A15" s="110" t="s">
        <v>173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33"/>
      <c r="S15" s="33"/>
      <c r="T15" s="32"/>
      <c r="U15" s="32"/>
      <c r="V15" s="32"/>
      <c r="W15" s="32"/>
      <c r="X15" s="27"/>
      <c r="Y15" s="27"/>
      <c r="Z15" s="27"/>
    </row>
    <row r="16" spans="1:26" s="14" customFormat="1" ht="15" customHeight="1" x14ac:dyDescent="0.25">
      <c r="A16" s="102" t="s">
        <v>18</v>
      </c>
      <c r="B16" s="102"/>
      <c r="C16" s="102" t="s">
        <v>30</v>
      </c>
      <c r="D16" s="103" t="s">
        <v>19</v>
      </c>
      <c r="E16" s="104"/>
      <c r="F16" s="104"/>
      <c r="G16" s="105"/>
      <c r="H16" s="18" t="s">
        <v>0</v>
      </c>
      <c r="I16" s="19" t="s">
        <v>1</v>
      </c>
      <c r="J16" s="20"/>
      <c r="K16" s="19" t="s">
        <v>2</v>
      </c>
      <c r="L16" s="20"/>
      <c r="M16" s="89" t="s">
        <v>3</v>
      </c>
      <c r="N16" s="90"/>
      <c r="O16" s="90"/>
      <c r="P16" s="90"/>
      <c r="Q16" s="90"/>
      <c r="R16" s="91"/>
      <c r="S16" s="21" t="s">
        <v>34</v>
      </c>
      <c r="T16" s="18" t="s">
        <v>35</v>
      </c>
    </row>
    <row r="17" spans="1:26" s="14" customFormat="1" x14ac:dyDescent="0.25">
      <c r="A17" s="34" t="s">
        <v>20</v>
      </c>
      <c r="B17" s="34" t="s">
        <v>21</v>
      </c>
      <c r="C17" s="102"/>
      <c r="D17" s="10">
        <v>46262</v>
      </c>
      <c r="E17" s="10">
        <v>46263</v>
      </c>
      <c r="F17" s="10">
        <v>46275</v>
      </c>
      <c r="G17" s="10">
        <v>46285</v>
      </c>
      <c r="H17" s="22"/>
      <c r="I17" s="35" t="s">
        <v>4</v>
      </c>
      <c r="J17" s="35" t="s">
        <v>5</v>
      </c>
      <c r="K17" s="35" t="s">
        <v>6</v>
      </c>
      <c r="L17" s="35" t="s">
        <v>7</v>
      </c>
      <c r="M17" s="36" t="s">
        <v>8</v>
      </c>
      <c r="N17" s="5" t="s">
        <v>9</v>
      </c>
      <c r="O17" s="5" t="s">
        <v>27</v>
      </c>
      <c r="P17" s="36" t="s">
        <v>10</v>
      </c>
      <c r="Q17" s="36" t="s">
        <v>11</v>
      </c>
      <c r="R17" s="12" t="s">
        <v>40</v>
      </c>
      <c r="S17" s="23"/>
      <c r="T17" s="22"/>
    </row>
    <row r="18" spans="1:26" s="14" customFormat="1" x14ac:dyDescent="0.25">
      <c r="A18" s="106" t="s">
        <v>12</v>
      </c>
      <c r="B18" s="6" t="s">
        <v>71</v>
      </c>
      <c r="C18" s="7" t="s">
        <v>72</v>
      </c>
      <c r="D18" s="8">
        <v>3619.3538664587618</v>
      </c>
      <c r="E18" s="8"/>
      <c r="F18" s="8">
        <v>117.87543463555984</v>
      </c>
      <c r="G18" s="8"/>
      <c r="H18" s="8" t="s">
        <v>58</v>
      </c>
      <c r="I18" s="8">
        <v>10632.291999999998</v>
      </c>
      <c r="J18" s="8">
        <v>0</v>
      </c>
      <c r="K18" s="8">
        <v>147.86000000000001</v>
      </c>
      <c r="L18" s="8">
        <v>0</v>
      </c>
      <c r="M18" s="8"/>
      <c r="N18" s="8"/>
      <c r="O18" s="8"/>
      <c r="P18" s="8"/>
      <c r="Q18" s="8"/>
      <c r="R18" s="8"/>
      <c r="S18" s="13">
        <f>R18+Q18+P18+O18+N18+M18</f>
        <v>0</v>
      </c>
      <c r="T18" s="4" t="s">
        <v>59</v>
      </c>
    </row>
    <row r="19" spans="1:26" s="14" customFormat="1" x14ac:dyDescent="0.25">
      <c r="A19" s="106"/>
      <c r="B19" s="6" t="s">
        <v>55</v>
      </c>
      <c r="C19" s="7" t="s">
        <v>56</v>
      </c>
      <c r="D19" s="8">
        <v>827.98375204458478</v>
      </c>
      <c r="E19" s="8">
        <v>74.833353862330014</v>
      </c>
      <c r="F19" s="8">
        <v>1086.9570453108217</v>
      </c>
      <c r="G19" s="8">
        <v>87.56362555385283</v>
      </c>
      <c r="H19" s="8" t="s">
        <v>58</v>
      </c>
      <c r="I19" s="8">
        <v>3452.9319999999998</v>
      </c>
      <c r="J19" s="8">
        <v>448.8</v>
      </c>
      <c r="K19" s="8">
        <v>299.24</v>
      </c>
      <c r="L19" s="8">
        <v>442.60500000000002</v>
      </c>
      <c r="M19" s="8"/>
      <c r="N19" s="8"/>
      <c r="O19" s="8"/>
      <c r="P19" s="8"/>
      <c r="Q19" s="8"/>
      <c r="R19" s="8"/>
      <c r="S19" s="13">
        <f>R19+Q19+P19+O19+N19+M19</f>
        <v>0</v>
      </c>
      <c r="T19" s="4" t="s">
        <v>59</v>
      </c>
      <c r="U19" s="14" t="s">
        <v>96</v>
      </c>
    </row>
    <row r="20" spans="1:26" s="14" customFormat="1" x14ac:dyDescent="0.25">
      <c r="A20" s="106"/>
      <c r="B20" s="6" t="s">
        <v>57</v>
      </c>
      <c r="C20" s="7" t="s">
        <v>33</v>
      </c>
      <c r="D20" s="8">
        <v>1311.9061070209855</v>
      </c>
      <c r="E20" s="8">
        <v>187.34143070362617</v>
      </c>
      <c r="F20" s="8">
        <v>1819.1953917792721</v>
      </c>
      <c r="G20" s="8">
        <v>217.27477224855821</v>
      </c>
      <c r="H20" s="11">
        <f>I20+J20-G20-F20-E20-D20</f>
        <v>-1107.5177017524431</v>
      </c>
      <c r="I20" s="8">
        <v>2428.1999999999989</v>
      </c>
      <c r="J20" s="8">
        <v>0</v>
      </c>
      <c r="K20" s="8">
        <v>263.72999999999996</v>
      </c>
      <c r="L20" s="8">
        <v>547.80000000000007</v>
      </c>
      <c r="M20" s="8"/>
      <c r="N20" s="8">
        <v>209.1</v>
      </c>
      <c r="O20" s="8"/>
      <c r="P20" s="8"/>
      <c r="Q20" s="8"/>
      <c r="R20" s="8"/>
      <c r="S20" s="13">
        <f t="shared" ref="S20" si="3">R20+Q20+P20+O20+N20+M20</f>
        <v>209.1</v>
      </c>
      <c r="T20" s="24" t="s">
        <v>73</v>
      </c>
    </row>
    <row r="21" spans="1:26" s="14" customFormat="1" x14ac:dyDescent="0.25">
      <c r="A21" s="106"/>
      <c r="B21" s="6" t="s">
        <v>162</v>
      </c>
      <c r="C21" s="7" t="s">
        <v>163</v>
      </c>
      <c r="D21" s="8"/>
      <c r="E21" s="8">
        <v>41.803459743784359</v>
      </c>
      <c r="F21" s="8"/>
      <c r="G21" s="8"/>
      <c r="H21" s="8" t="s">
        <v>58</v>
      </c>
      <c r="I21" s="8">
        <v>1849.2019999999995</v>
      </c>
      <c r="J21" s="8">
        <v>0</v>
      </c>
      <c r="K21" s="8">
        <v>42.98</v>
      </c>
      <c r="L21" s="8">
        <v>84.760000000000019</v>
      </c>
      <c r="M21" s="8"/>
      <c r="N21" s="8"/>
      <c r="O21" s="8"/>
      <c r="P21" s="8"/>
      <c r="Q21" s="8"/>
      <c r="R21" s="8"/>
      <c r="S21" s="13"/>
      <c r="T21" s="4" t="s">
        <v>59</v>
      </c>
    </row>
    <row r="22" spans="1:26" s="14" customFormat="1" x14ac:dyDescent="0.25">
      <c r="A22" s="106"/>
      <c r="B22" s="6" t="s">
        <v>164</v>
      </c>
      <c r="C22" s="7" t="s">
        <v>165</v>
      </c>
      <c r="D22" s="8"/>
      <c r="E22" s="8">
        <v>45.760165810068472</v>
      </c>
      <c r="F22" s="8"/>
      <c r="G22" s="8"/>
      <c r="H22" s="8" t="s">
        <v>58</v>
      </c>
      <c r="I22" s="8">
        <v>2452.8590000000008</v>
      </c>
      <c r="J22" s="8">
        <v>0</v>
      </c>
      <c r="K22" s="8">
        <v>0</v>
      </c>
      <c r="L22" s="8">
        <v>420.37000000000012</v>
      </c>
      <c r="M22" s="8"/>
      <c r="N22" s="8"/>
      <c r="O22" s="8"/>
      <c r="P22" s="8"/>
      <c r="Q22" s="8"/>
      <c r="R22" s="8"/>
      <c r="S22" s="13"/>
      <c r="T22" s="4" t="s">
        <v>59</v>
      </c>
    </row>
    <row r="23" spans="1:26" s="14" customFormat="1" x14ac:dyDescent="0.25">
      <c r="A23" s="106"/>
      <c r="B23" s="6" t="s">
        <v>166</v>
      </c>
      <c r="C23" s="7" t="s">
        <v>167</v>
      </c>
      <c r="D23" s="8"/>
      <c r="E23" s="8">
        <v>58.662468200125375</v>
      </c>
      <c r="F23" s="8"/>
      <c r="G23" s="8"/>
      <c r="H23" s="8" t="s">
        <v>58</v>
      </c>
      <c r="I23" s="8">
        <v>7436.8799999999965</v>
      </c>
      <c r="J23" s="8">
        <v>0</v>
      </c>
      <c r="K23" s="8">
        <v>293.10000000000002</v>
      </c>
      <c r="L23" s="8">
        <v>0</v>
      </c>
      <c r="M23" s="8"/>
      <c r="N23" s="8"/>
      <c r="O23" s="8"/>
      <c r="P23" s="8"/>
      <c r="Q23" s="8"/>
      <c r="R23" s="8"/>
      <c r="S23" s="13">
        <f t="shared" ref="S23:S24" si="4">R23+Q23+P23+O23+N23+M23</f>
        <v>0</v>
      </c>
      <c r="T23" s="4" t="s">
        <v>59</v>
      </c>
    </row>
    <row r="24" spans="1:26" s="14" customFormat="1" x14ac:dyDescent="0.25">
      <c r="A24" s="106"/>
      <c r="B24" s="6" t="s">
        <v>60</v>
      </c>
      <c r="C24" s="7" t="s">
        <v>61</v>
      </c>
      <c r="D24" s="8"/>
      <c r="E24" s="8">
        <v>557.55149394899217</v>
      </c>
      <c r="F24" s="8"/>
      <c r="G24" s="8"/>
      <c r="H24" s="11">
        <f t="shared" ref="H24" si="5">I24+J24-G24-F24-E24-D24</f>
        <v>-536.2714939489922</v>
      </c>
      <c r="I24" s="8">
        <v>21.28</v>
      </c>
      <c r="J24" s="8">
        <v>0</v>
      </c>
      <c r="K24" s="8">
        <v>284.73</v>
      </c>
      <c r="L24" s="8">
        <v>449.29999999999984</v>
      </c>
      <c r="M24" s="8"/>
      <c r="N24" s="8"/>
      <c r="O24" s="8"/>
      <c r="P24" s="8"/>
      <c r="Q24" s="8"/>
      <c r="R24" s="8"/>
      <c r="S24" s="13">
        <f t="shared" si="4"/>
        <v>0</v>
      </c>
      <c r="T24" s="24" t="s">
        <v>73</v>
      </c>
    </row>
    <row r="25" spans="1:26" s="14" customFormat="1" ht="21" x14ac:dyDescent="0.25">
      <c r="A25" s="40"/>
      <c r="B25" s="40"/>
      <c r="C25" s="41"/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0"/>
      <c r="O25" s="40"/>
      <c r="P25" s="40"/>
      <c r="Q25" s="40"/>
      <c r="R25" s="41"/>
      <c r="S25" s="32"/>
      <c r="T25" s="32"/>
      <c r="U25" s="32"/>
      <c r="V25" s="32"/>
      <c r="W25" s="32"/>
      <c r="X25" s="27"/>
      <c r="Y25" s="27"/>
      <c r="Z25" s="27"/>
    </row>
    <row r="26" spans="1:26" x14ac:dyDescent="0.25">
      <c r="A26" s="102" t="s">
        <v>18</v>
      </c>
      <c r="B26" s="102"/>
      <c r="C26" s="102" t="s">
        <v>30</v>
      </c>
      <c r="D26" s="43" t="s">
        <v>19</v>
      </c>
      <c r="E26" s="85" t="s">
        <v>0</v>
      </c>
      <c r="F26" s="87" t="s">
        <v>1</v>
      </c>
      <c r="G26" s="88"/>
      <c r="H26" s="87" t="s">
        <v>2</v>
      </c>
      <c r="I26" s="88"/>
      <c r="J26" s="89" t="s">
        <v>3</v>
      </c>
      <c r="K26" s="90"/>
      <c r="L26" s="90"/>
      <c r="M26" s="90"/>
      <c r="N26" s="90"/>
      <c r="O26" s="91"/>
      <c r="P26" s="92" t="s">
        <v>34</v>
      </c>
      <c r="Q26" s="98" t="s">
        <v>35</v>
      </c>
      <c r="R26" s="25"/>
    </row>
    <row r="27" spans="1:26" x14ac:dyDescent="0.25">
      <c r="A27" s="34" t="s">
        <v>20</v>
      </c>
      <c r="B27" s="34" t="s">
        <v>21</v>
      </c>
      <c r="C27" s="102"/>
      <c r="D27" s="10">
        <v>46263</v>
      </c>
      <c r="E27" s="86"/>
      <c r="F27" s="35" t="s">
        <v>4</v>
      </c>
      <c r="G27" s="35" t="s">
        <v>5</v>
      </c>
      <c r="H27" s="35" t="s">
        <v>6</v>
      </c>
      <c r="I27" s="35" t="s">
        <v>7</v>
      </c>
      <c r="J27" s="36" t="s">
        <v>8</v>
      </c>
      <c r="K27" s="5" t="s">
        <v>9</v>
      </c>
      <c r="L27" s="5" t="s">
        <v>27</v>
      </c>
      <c r="M27" s="36" t="s">
        <v>10</v>
      </c>
      <c r="N27" s="36" t="s">
        <v>11</v>
      </c>
      <c r="O27" s="12" t="s">
        <v>95</v>
      </c>
      <c r="P27" s="93"/>
      <c r="Q27" s="98"/>
      <c r="R27" s="25"/>
    </row>
    <row r="28" spans="1:26" x14ac:dyDescent="0.25">
      <c r="A28" s="106" t="s">
        <v>25</v>
      </c>
      <c r="B28" s="6" t="s">
        <v>159</v>
      </c>
      <c r="C28" s="7" t="s">
        <v>33</v>
      </c>
      <c r="D28" s="8">
        <v>7640.982670402298</v>
      </c>
      <c r="E28" s="8" t="s">
        <v>58</v>
      </c>
      <c r="F28" s="8">
        <v>7994.9660000000049</v>
      </c>
      <c r="G28" s="8">
        <v>7170.8200000000024</v>
      </c>
      <c r="H28" s="8">
        <v>1562.0400000000006</v>
      </c>
      <c r="I28" s="8">
        <v>3404.0399999999959</v>
      </c>
      <c r="J28" s="13">
        <v>3377.819</v>
      </c>
      <c r="K28" s="13">
        <v>10142</v>
      </c>
      <c r="L28" s="13"/>
      <c r="M28" s="13">
        <v>11560.5</v>
      </c>
      <c r="N28" s="13">
        <v>1647</v>
      </c>
      <c r="O28" s="13"/>
      <c r="P28" s="13">
        <f t="shared" ref="P28:P29" si="6">O28+N28+M28+L28+K28+J28</f>
        <v>26727.319</v>
      </c>
      <c r="Q28" s="4" t="s">
        <v>59</v>
      </c>
      <c r="R28" s="25"/>
    </row>
    <row r="29" spans="1:26" x14ac:dyDescent="0.25">
      <c r="A29" s="107"/>
      <c r="B29" s="6" t="s">
        <v>100</v>
      </c>
      <c r="C29" s="7" t="s">
        <v>101</v>
      </c>
      <c r="D29" s="8">
        <v>4906.4168364979823</v>
      </c>
      <c r="E29" s="8" t="s">
        <v>58</v>
      </c>
      <c r="F29" s="8">
        <v>10219.680000000006</v>
      </c>
      <c r="G29" s="8">
        <v>0</v>
      </c>
      <c r="H29" s="8">
        <v>2026.9699999999998</v>
      </c>
      <c r="I29" s="8">
        <v>0</v>
      </c>
      <c r="J29" s="13"/>
      <c r="K29" s="13">
        <v>3617.5</v>
      </c>
      <c r="L29" s="13">
        <v>1764</v>
      </c>
      <c r="M29" s="13">
        <v>1791</v>
      </c>
      <c r="N29" s="13"/>
      <c r="O29" s="13"/>
      <c r="P29" s="13">
        <f t="shared" si="6"/>
        <v>7172.5</v>
      </c>
      <c r="Q29" s="4" t="s">
        <v>59</v>
      </c>
      <c r="R29" s="25"/>
    </row>
    <row r="30" spans="1:26" x14ac:dyDescent="0.25">
      <c r="A30" s="107"/>
      <c r="B30" s="6" t="s">
        <v>102</v>
      </c>
      <c r="C30" s="7" t="s">
        <v>103</v>
      </c>
      <c r="D30" s="8">
        <v>2800.4061027784155</v>
      </c>
      <c r="E30" s="8" t="s">
        <v>58</v>
      </c>
      <c r="F30" s="8">
        <v>13063.190000000002</v>
      </c>
      <c r="G30" s="8">
        <v>1129.3699999999997</v>
      </c>
      <c r="H30" s="8">
        <v>25.02</v>
      </c>
      <c r="I30" s="8">
        <v>0</v>
      </c>
      <c r="J30" s="13"/>
      <c r="K30" s="13">
        <v>1213.5</v>
      </c>
      <c r="L30" s="13"/>
      <c r="M30" s="13">
        <v>3614.5</v>
      </c>
      <c r="N30" s="13"/>
      <c r="O30" s="13"/>
      <c r="P30" s="13">
        <f>O30+N30+M30+L30+K30+J30</f>
        <v>4828</v>
      </c>
      <c r="Q30" s="4" t="s">
        <v>59</v>
      </c>
      <c r="R30" s="25"/>
    </row>
    <row r="31" spans="1:26" x14ac:dyDescent="0.25">
      <c r="A31" s="107"/>
      <c r="B31" s="6" t="s">
        <v>104</v>
      </c>
      <c r="C31" s="7" t="s">
        <v>105</v>
      </c>
      <c r="D31" s="8">
        <v>3341.1741777976958</v>
      </c>
      <c r="E31" s="11">
        <f t="shared" ref="E31:E33" si="7">F31+G31-D31</f>
        <v>-2788.9041777976959</v>
      </c>
      <c r="F31" s="8">
        <v>552.2700000000001</v>
      </c>
      <c r="G31" s="8">
        <v>0</v>
      </c>
      <c r="H31" s="8">
        <v>3.54</v>
      </c>
      <c r="I31" s="8">
        <v>0</v>
      </c>
      <c r="J31" s="13"/>
      <c r="K31" s="13"/>
      <c r="L31" s="13"/>
      <c r="M31" s="13"/>
      <c r="N31" s="13"/>
      <c r="O31" s="13"/>
      <c r="P31" s="13">
        <f t="shared" ref="P31:P33" si="8">O31+N31+M31+L31+K31+J31</f>
        <v>0</v>
      </c>
      <c r="Q31" s="24" t="s">
        <v>73</v>
      </c>
      <c r="R31" s="25"/>
    </row>
    <row r="32" spans="1:26" x14ac:dyDescent="0.25">
      <c r="A32" s="107"/>
      <c r="B32" s="6" t="s">
        <v>69</v>
      </c>
      <c r="C32" s="7" t="s">
        <v>70</v>
      </c>
      <c r="D32" s="8">
        <v>3341.1741777976958</v>
      </c>
      <c r="E32" s="11">
        <f t="shared" si="7"/>
        <v>-2779.494177797696</v>
      </c>
      <c r="F32" s="8">
        <v>561.67999999999995</v>
      </c>
      <c r="G32" s="8">
        <v>0</v>
      </c>
      <c r="H32" s="8">
        <v>15.58</v>
      </c>
      <c r="I32" s="8">
        <v>0</v>
      </c>
      <c r="J32" s="13"/>
      <c r="K32" s="13"/>
      <c r="L32" s="13"/>
      <c r="M32" s="13">
        <v>1502.5</v>
      </c>
      <c r="N32" s="13"/>
      <c r="O32" s="13"/>
      <c r="P32" s="13">
        <f t="shared" si="8"/>
        <v>1502.5</v>
      </c>
      <c r="Q32" s="24" t="s">
        <v>73</v>
      </c>
      <c r="R32" s="25"/>
    </row>
    <row r="33" spans="1:26" x14ac:dyDescent="0.25">
      <c r="A33" s="107"/>
      <c r="B33" s="6" t="s">
        <v>145</v>
      </c>
      <c r="C33" s="7" t="s">
        <v>146</v>
      </c>
      <c r="D33" s="8">
        <v>2833.7651723412932</v>
      </c>
      <c r="E33" s="11">
        <f t="shared" si="7"/>
        <v>-2063.255172341293</v>
      </c>
      <c r="F33" s="8">
        <v>770.5100000000001</v>
      </c>
      <c r="G33" s="8">
        <v>0</v>
      </c>
      <c r="H33" s="8">
        <v>0</v>
      </c>
      <c r="I33" s="8">
        <v>0</v>
      </c>
      <c r="J33" s="13"/>
      <c r="K33" s="13"/>
      <c r="L33" s="13"/>
      <c r="M33" s="13">
        <v>1503</v>
      </c>
      <c r="N33" s="13"/>
      <c r="O33" s="13"/>
      <c r="P33" s="13">
        <f t="shared" si="8"/>
        <v>1503</v>
      </c>
      <c r="Q33" s="24" t="s">
        <v>73</v>
      </c>
      <c r="R33" s="25"/>
    </row>
    <row r="34" spans="1:26" s="14" customFormat="1" ht="21" x14ac:dyDescent="0.25">
      <c r="A34" s="40"/>
      <c r="B34" s="40"/>
      <c r="C34" s="41"/>
      <c r="D34" s="40"/>
      <c r="E34" s="40"/>
      <c r="F34" s="40"/>
      <c r="G34" s="40"/>
      <c r="H34" s="41"/>
      <c r="I34" s="40"/>
      <c r="J34" s="40"/>
      <c r="K34" s="40"/>
      <c r="L34" s="40"/>
      <c r="M34" s="40"/>
      <c r="N34" s="40"/>
      <c r="O34" s="40"/>
      <c r="P34" s="40"/>
      <c r="Q34" s="40"/>
      <c r="R34" s="42"/>
      <c r="S34" s="32"/>
      <c r="T34" s="32"/>
      <c r="U34" s="32"/>
      <c r="V34" s="32"/>
      <c r="W34" s="32"/>
      <c r="X34" s="27"/>
      <c r="Y34" s="27"/>
      <c r="Z34" s="27"/>
    </row>
    <row r="35" spans="1:26" s="14" customFormat="1" x14ac:dyDescent="0.25">
      <c r="A35" s="81" t="s">
        <v>18</v>
      </c>
      <c r="B35" s="82"/>
      <c r="C35" s="83" t="s">
        <v>30</v>
      </c>
      <c r="D35" s="113" t="s">
        <v>19</v>
      </c>
      <c r="E35" s="113"/>
      <c r="F35" s="113"/>
      <c r="G35" s="113"/>
      <c r="H35" s="85" t="s">
        <v>0</v>
      </c>
      <c r="I35" s="87" t="s">
        <v>1</v>
      </c>
      <c r="J35" s="88"/>
      <c r="K35" s="87" t="s">
        <v>2</v>
      </c>
      <c r="L35" s="88"/>
      <c r="M35" s="89" t="s">
        <v>3</v>
      </c>
      <c r="N35" s="90"/>
      <c r="O35" s="90"/>
      <c r="P35" s="90"/>
      <c r="Q35" s="90"/>
      <c r="R35" s="91"/>
      <c r="S35" s="92" t="s">
        <v>34</v>
      </c>
      <c r="T35" s="98" t="s">
        <v>35</v>
      </c>
      <c r="U35" s="26"/>
      <c r="V35" s="26"/>
    </row>
    <row r="36" spans="1:26" s="14" customFormat="1" x14ac:dyDescent="0.25">
      <c r="A36" s="34" t="s">
        <v>20</v>
      </c>
      <c r="B36" s="34" t="s">
        <v>21</v>
      </c>
      <c r="C36" s="84"/>
      <c r="D36" s="10">
        <v>46260</v>
      </c>
      <c r="E36" s="10">
        <v>46261</v>
      </c>
      <c r="F36" s="10">
        <v>46263</v>
      </c>
      <c r="G36" s="10">
        <v>46269</v>
      </c>
      <c r="H36" s="86"/>
      <c r="I36" s="35" t="s">
        <v>4</v>
      </c>
      <c r="J36" s="35" t="s">
        <v>5</v>
      </c>
      <c r="K36" s="35" t="s">
        <v>6</v>
      </c>
      <c r="L36" s="35" t="s">
        <v>7</v>
      </c>
      <c r="M36" s="36" t="s">
        <v>8</v>
      </c>
      <c r="N36" s="5" t="s">
        <v>9</v>
      </c>
      <c r="O36" s="5" t="s">
        <v>27</v>
      </c>
      <c r="P36" s="36" t="s">
        <v>10</v>
      </c>
      <c r="Q36" s="36" t="s">
        <v>11</v>
      </c>
      <c r="R36" s="12" t="s">
        <v>95</v>
      </c>
      <c r="S36" s="93"/>
      <c r="T36" s="98"/>
      <c r="U36" s="26"/>
      <c r="V36" s="26"/>
    </row>
    <row r="37" spans="1:26" s="14" customFormat="1" x14ac:dyDescent="0.25">
      <c r="A37" s="99" t="s">
        <v>62</v>
      </c>
      <c r="B37" s="6" t="s">
        <v>63</v>
      </c>
      <c r="C37" s="7" t="s">
        <v>64</v>
      </c>
      <c r="D37" s="8"/>
      <c r="E37" s="8"/>
      <c r="F37" s="8">
        <v>333.5224169082735</v>
      </c>
      <c r="G37" s="8"/>
      <c r="H37" s="8" t="s">
        <v>58</v>
      </c>
      <c r="I37" s="8">
        <v>449.16999999999985</v>
      </c>
      <c r="J37" s="8">
        <v>0</v>
      </c>
      <c r="K37" s="8">
        <v>19.14</v>
      </c>
      <c r="L37" s="8">
        <v>0</v>
      </c>
      <c r="M37" s="13"/>
      <c r="N37" s="13"/>
      <c r="O37" s="13"/>
      <c r="P37" s="13"/>
      <c r="Q37" s="13"/>
      <c r="R37" s="13"/>
      <c r="S37" s="13">
        <f t="shared" ref="S37" si="9">R37+Q37+P37+O37+N37+M37</f>
        <v>0</v>
      </c>
      <c r="T37" s="4" t="s">
        <v>59</v>
      </c>
      <c r="U37" s="26"/>
      <c r="V37" s="26"/>
    </row>
    <row r="38" spans="1:26" s="14" customFormat="1" x14ac:dyDescent="0.25">
      <c r="A38" s="100"/>
      <c r="B38" s="6" t="s">
        <v>65</v>
      </c>
      <c r="C38" s="7" t="s">
        <v>66</v>
      </c>
      <c r="D38" s="8"/>
      <c r="E38" s="8">
        <v>3978.0708072968255</v>
      </c>
      <c r="F38" s="8">
        <v>405.74183789234837</v>
      </c>
      <c r="G38" s="8"/>
      <c r="H38" s="8" t="s">
        <v>58</v>
      </c>
      <c r="I38" s="8">
        <v>9438.4559999999983</v>
      </c>
      <c r="J38" s="8">
        <v>2864.7399999999989</v>
      </c>
      <c r="K38" s="8">
        <v>349.16</v>
      </c>
      <c r="L38" s="8">
        <v>0</v>
      </c>
      <c r="M38" s="13">
        <v>2680</v>
      </c>
      <c r="N38" s="13">
        <v>4065.5</v>
      </c>
      <c r="O38" s="13"/>
      <c r="P38" s="13"/>
      <c r="Q38" s="13"/>
      <c r="R38" s="13">
        <v>4015.5</v>
      </c>
      <c r="S38" s="13">
        <f t="shared" ref="S38:S52" si="10">R38+Q38+P38+O38+N38+M38</f>
        <v>10761</v>
      </c>
      <c r="T38" s="4" t="s">
        <v>59</v>
      </c>
      <c r="U38" s="26"/>
      <c r="V38" s="26"/>
    </row>
    <row r="39" spans="1:26" s="14" customFormat="1" x14ac:dyDescent="0.25">
      <c r="A39" s="100"/>
      <c r="B39" s="6" t="s">
        <v>67</v>
      </c>
      <c r="C39" s="7" t="s">
        <v>68</v>
      </c>
      <c r="D39" s="8"/>
      <c r="E39" s="8">
        <v>869.70003241432687</v>
      </c>
      <c r="F39" s="8">
        <v>743.39107885685485</v>
      </c>
      <c r="G39" s="8">
        <v>2903.9710552064012</v>
      </c>
      <c r="H39" s="8" t="s">
        <v>58</v>
      </c>
      <c r="I39" s="8">
        <v>10220.800000000003</v>
      </c>
      <c r="J39" s="8">
        <v>4784.9900000000007</v>
      </c>
      <c r="K39" s="8">
        <v>0</v>
      </c>
      <c r="L39" s="8">
        <v>18.239999999999998</v>
      </c>
      <c r="M39" s="13"/>
      <c r="N39" s="13"/>
      <c r="O39" s="13"/>
      <c r="P39" s="13">
        <v>10372.5</v>
      </c>
      <c r="Q39" s="13">
        <v>7567.5</v>
      </c>
      <c r="R39" s="13"/>
      <c r="S39" s="13">
        <f>R39+Q39+P39+O39+N39+M39</f>
        <v>17940</v>
      </c>
      <c r="T39" s="4" t="s">
        <v>59</v>
      </c>
      <c r="U39" s="26"/>
      <c r="V39" s="26"/>
    </row>
    <row r="40" spans="1:26" s="14" customFormat="1" x14ac:dyDescent="0.25">
      <c r="A40" s="100"/>
      <c r="B40" s="6" t="s">
        <v>41</v>
      </c>
      <c r="C40" s="7" t="s">
        <v>42</v>
      </c>
      <c r="D40" s="8"/>
      <c r="E40" s="8"/>
      <c r="F40" s="8"/>
      <c r="G40" s="8">
        <v>2960.4335116121329</v>
      </c>
      <c r="H40" s="8" t="s">
        <v>58</v>
      </c>
      <c r="I40" s="8">
        <v>4458.5500000000011</v>
      </c>
      <c r="J40" s="8">
        <v>0</v>
      </c>
      <c r="K40" s="8">
        <v>0</v>
      </c>
      <c r="L40" s="8">
        <v>0</v>
      </c>
      <c r="M40" s="13"/>
      <c r="N40" s="13">
        <v>848.85</v>
      </c>
      <c r="O40" s="13">
        <v>1346</v>
      </c>
      <c r="P40" s="13">
        <v>2698</v>
      </c>
      <c r="Q40" s="13"/>
      <c r="R40" s="13"/>
      <c r="S40" s="13">
        <f t="shared" si="10"/>
        <v>4892.8500000000004</v>
      </c>
      <c r="T40" s="4" t="s">
        <v>59</v>
      </c>
      <c r="U40" s="26"/>
      <c r="V40" s="26"/>
    </row>
    <row r="41" spans="1:26" s="14" customFormat="1" x14ac:dyDescent="0.25">
      <c r="A41" s="100"/>
      <c r="B41" s="6" t="s">
        <v>51</v>
      </c>
      <c r="C41" s="7" t="s">
        <v>52</v>
      </c>
      <c r="D41" s="8"/>
      <c r="E41" s="8">
        <v>3751.6582329389594</v>
      </c>
      <c r="F41" s="8">
        <v>1672.1140744208942</v>
      </c>
      <c r="G41" s="8"/>
      <c r="H41" s="8" t="s">
        <v>58</v>
      </c>
      <c r="I41" s="8">
        <v>6032.1499999999924</v>
      </c>
      <c r="J41" s="8">
        <v>4986.169999999991</v>
      </c>
      <c r="K41" s="8">
        <v>1731.3400000000001</v>
      </c>
      <c r="L41" s="8">
        <v>3242.0699999999961</v>
      </c>
      <c r="M41" s="13">
        <v>1505</v>
      </c>
      <c r="N41" s="13">
        <v>3010</v>
      </c>
      <c r="O41" s="13"/>
      <c r="P41" s="13">
        <v>16143.444</v>
      </c>
      <c r="Q41" s="13">
        <v>4470</v>
      </c>
      <c r="R41" s="13"/>
      <c r="S41" s="13">
        <f t="shared" si="10"/>
        <v>25128.444</v>
      </c>
      <c r="T41" s="4" t="s">
        <v>59</v>
      </c>
      <c r="U41" s="26"/>
      <c r="V41" s="26"/>
    </row>
    <row r="42" spans="1:26" s="14" customFormat="1" x14ac:dyDescent="0.25">
      <c r="A42" s="100"/>
      <c r="B42" s="6" t="s">
        <v>29</v>
      </c>
      <c r="C42" s="7" t="s">
        <v>31</v>
      </c>
      <c r="D42" s="8"/>
      <c r="E42" s="8"/>
      <c r="F42" s="8">
        <v>211.59352433775729</v>
      </c>
      <c r="G42" s="8"/>
      <c r="H42" s="8" t="s">
        <v>58</v>
      </c>
      <c r="I42" s="8">
        <v>3546.9199999999973</v>
      </c>
      <c r="J42" s="8">
        <v>0</v>
      </c>
      <c r="K42" s="8">
        <v>0</v>
      </c>
      <c r="L42" s="8">
        <v>266.85999999999996</v>
      </c>
      <c r="M42" s="13"/>
      <c r="N42" s="13"/>
      <c r="O42" s="13"/>
      <c r="P42" s="13"/>
      <c r="Q42" s="13"/>
      <c r="R42" s="13"/>
      <c r="S42" s="13">
        <f t="shared" ref="S42:S43" si="11">R42+Q42+P42+O42+N42+M42</f>
        <v>0</v>
      </c>
      <c r="T42" s="4" t="s">
        <v>59</v>
      </c>
      <c r="U42" s="26"/>
      <c r="V42" s="26"/>
    </row>
    <row r="43" spans="1:26" s="14" customFormat="1" x14ac:dyDescent="0.25">
      <c r="A43" s="100"/>
      <c r="B43" s="6" t="s">
        <v>136</v>
      </c>
      <c r="C43" s="7" t="s">
        <v>137</v>
      </c>
      <c r="D43" s="8"/>
      <c r="E43" s="8"/>
      <c r="F43" s="8">
        <v>49.334305763147313</v>
      </c>
      <c r="G43" s="8"/>
      <c r="H43" s="8" t="s">
        <v>58</v>
      </c>
      <c r="I43" s="8">
        <v>509.69799999999998</v>
      </c>
      <c r="J43" s="8">
        <v>0</v>
      </c>
      <c r="K43" s="8">
        <v>0</v>
      </c>
      <c r="L43" s="8">
        <v>0</v>
      </c>
      <c r="M43" s="13"/>
      <c r="N43" s="13"/>
      <c r="O43" s="13"/>
      <c r="P43" s="13"/>
      <c r="Q43" s="13"/>
      <c r="R43" s="13"/>
      <c r="S43" s="13">
        <f t="shared" si="11"/>
        <v>0</v>
      </c>
      <c r="T43" s="4" t="s">
        <v>59</v>
      </c>
      <c r="U43" s="26"/>
      <c r="V43" s="26"/>
    </row>
    <row r="44" spans="1:26" s="14" customFormat="1" x14ac:dyDescent="0.25">
      <c r="A44" s="100"/>
      <c r="B44" s="6" t="s">
        <v>43</v>
      </c>
      <c r="C44" s="7" t="s">
        <v>44</v>
      </c>
      <c r="D44" s="8"/>
      <c r="E44" s="8">
        <v>281.37436747042193</v>
      </c>
      <c r="F44" s="8"/>
      <c r="G44" s="8">
        <v>2960.4335116121329</v>
      </c>
      <c r="H44" s="8" t="s">
        <v>58</v>
      </c>
      <c r="I44" s="8">
        <v>8358.9100000000035</v>
      </c>
      <c r="J44" s="8">
        <v>171.48000000000002</v>
      </c>
      <c r="K44" s="8">
        <v>16.23</v>
      </c>
      <c r="L44" s="8">
        <v>0</v>
      </c>
      <c r="M44" s="13"/>
      <c r="N44" s="13"/>
      <c r="O44" s="13"/>
      <c r="P44" s="13"/>
      <c r="Q44" s="13"/>
      <c r="R44" s="13"/>
      <c r="S44" s="13">
        <f t="shared" si="10"/>
        <v>0</v>
      </c>
      <c r="T44" s="4" t="s">
        <v>59</v>
      </c>
      <c r="U44" s="26"/>
      <c r="V44" s="26"/>
    </row>
    <row r="45" spans="1:26" s="14" customFormat="1" x14ac:dyDescent="0.25">
      <c r="A45" s="100"/>
      <c r="B45" s="6" t="s">
        <v>26</v>
      </c>
      <c r="C45" s="7" t="s">
        <v>32</v>
      </c>
      <c r="D45" s="8"/>
      <c r="E45" s="8">
        <v>356.40753212920112</v>
      </c>
      <c r="F45" s="8"/>
      <c r="G45" s="8">
        <v>2948.6157881783752</v>
      </c>
      <c r="H45" s="11">
        <f t="shared" ref="H45:H52" si="12">I45+J45-G45-F45-E45-D45</f>
        <v>-7.6833203075779579</v>
      </c>
      <c r="I45" s="8">
        <v>3297.3399999999983</v>
      </c>
      <c r="J45" s="8">
        <v>0</v>
      </c>
      <c r="K45" s="8">
        <v>2458.3100000000004</v>
      </c>
      <c r="L45" s="8">
        <v>0</v>
      </c>
      <c r="M45" s="13"/>
      <c r="N45" s="13"/>
      <c r="O45" s="13"/>
      <c r="P45" s="13"/>
      <c r="Q45" s="13"/>
      <c r="R45" s="13"/>
      <c r="S45" s="13">
        <f t="shared" si="10"/>
        <v>0</v>
      </c>
      <c r="T45" s="4" t="s">
        <v>106</v>
      </c>
      <c r="U45" s="26"/>
      <c r="V45" s="26"/>
    </row>
    <row r="46" spans="1:26" s="14" customFormat="1" ht="14.25" customHeight="1" x14ac:dyDescent="0.25">
      <c r="A46" s="100"/>
      <c r="B46" s="6" t="s">
        <v>53</v>
      </c>
      <c r="C46" s="7" t="s">
        <v>54</v>
      </c>
      <c r="D46" s="8"/>
      <c r="E46" s="8">
        <v>1439.5112639786787</v>
      </c>
      <c r="F46" s="8"/>
      <c r="G46" s="8"/>
      <c r="H46" s="8" t="s">
        <v>58</v>
      </c>
      <c r="I46" s="8">
        <v>2491.4199999999987</v>
      </c>
      <c r="J46" s="8">
        <v>0</v>
      </c>
      <c r="K46" s="8">
        <v>0</v>
      </c>
      <c r="L46" s="8">
        <v>0</v>
      </c>
      <c r="M46" s="13"/>
      <c r="N46" s="13"/>
      <c r="O46" s="13"/>
      <c r="P46" s="13"/>
      <c r="Q46" s="13"/>
      <c r="R46" s="13"/>
      <c r="S46" s="13">
        <f t="shared" si="10"/>
        <v>0</v>
      </c>
      <c r="T46" s="4" t="s">
        <v>59</v>
      </c>
      <c r="U46" s="26"/>
      <c r="V46" s="26"/>
    </row>
    <row r="47" spans="1:26" s="14" customFormat="1" x14ac:dyDescent="0.25">
      <c r="A47" s="100"/>
      <c r="B47" s="6" t="s">
        <v>36</v>
      </c>
      <c r="C47" s="7" t="s">
        <v>37</v>
      </c>
      <c r="D47" s="8"/>
      <c r="E47" s="8">
        <v>121.92889257051617</v>
      </c>
      <c r="F47" s="8">
        <v>112.54974698816878</v>
      </c>
      <c r="G47" s="8"/>
      <c r="H47" s="8" t="s">
        <v>58</v>
      </c>
      <c r="I47" s="8">
        <v>18827.310000000041</v>
      </c>
      <c r="J47" s="8">
        <v>0</v>
      </c>
      <c r="K47" s="8">
        <v>0</v>
      </c>
      <c r="L47" s="8">
        <v>0</v>
      </c>
      <c r="M47" s="13"/>
      <c r="N47" s="13"/>
      <c r="O47" s="13"/>
      <c r="P47" s="13"/>
      <c r="Q47" s="13"/>
      <c r="R47" s="13"/>
      <c r="S47" s="13">
        <f t="shared" si="10"/>
        <v>0</v>
      </c>
      <c r="T47" s="4" t="s">
        <v>59</v>
      </c>
      <c r="U47" s="26"/>
      <c r="V47" s="26"/>
    </row>
    <row r="48" spans="1:26" s="14" customFormat="1" x14ac:dyDescent="0.25">
      <c r="A48" s="100"/>
      <c r="B48" s="6" t="s">
        <v>45</v>
      </c>
      <c r="C48" s="7" t="s">
        <v>46</v>
      </c>
      <c r="D48" s="8"/>
      <c r="E48" s="8">
        <v>393.92411445859074</v>
      </c>
      <c r="F48" s="8"/>
      <c r="G48" s="8">
        <v>2959.4955970538981</v>
      </c>
      <c r="H48" s="11">
        <f t="shared" si="12"/>
        <v>-2477.3597115124885</v>
      </c>
      <c r="I48" s="8">
        <v>837.97000000000025</v>
      </c>
      <c r="J48" s="8">
        <v>38.090000000000003</v>
      </c>
      <c r="K48" s="8">
        <v>3517.2499999999995</v>
      </c>
      <c r="L48" s="8">
        <v>0</v>
      </c>
      <c r="M48" s="13">
        <v>1342.5</v>
      </c>
      <c r="N48" s="13"/>
      <c r="O48" s="13"/>
      <c r="P48" s="13"/>
      <c r="Q48" s="13"/>
      <c r="R48" s="13"/>
      <c r="S48" s="13">
        <f t="shared" si="10"/>
        <v>1342.5</v>
      </c>
      <c r="T48" s="4" t="s">
        <v>106</v>
      </c>
      <c r="U48" s="26"/>
      <c r="V48" s="26"/>
    </row>
    <row r="49" spans="1:22" s="14" customFormat="1" x14ac:dyDescent="0.25">
      <c r="A49" s="100"/>
      <c r="B49" s="6" t="s">
        <v>138</v>
      </c>
      <c r="C49" s="7" t="s">
        <v>139</v>
      </c>
      <c r="D49" s="8">
        <v>1001.1656402129743</v>
      </c>
      <c r="E49" s="8"/>
      <c r="F49" s="8"/>
      <c r="G49" s="8"/>
      <c r="H49" s="11">
        <f t="shared" si="12"/>
        <v>-1001.1656402129743</v>
      </c>
      <c r="I49" s="8"/>
      <c r="J49" s="8"/>
      <c r="K49" s="8"/>
      <c r="L49" s="8"/>
      <c r="M49" s="13"/>
      <c r="N49" s="13"/>
      <c r="O49" s="13"/>
      <c r="P49" s="13">
        <v>1365</v>
      </c>
      <c r="Q49" s="13"/>
      <c r="R49" s="13"/>
      <c r="S49" s="13">
        <f t="shared" si="10"/>
        <v>1365</v>
      </c>
      <c r="T49" s="4" t="s">
        <v>171</v>
      </c>
      <c r="U49" s="26"/>
      <c r="V49" s="26"/>
    </row>
    <row r="50" spans="1:22" s="14" customFormat="1" x14ac:dyDescent="0.25">
      <c r="A50" s="100"/>
      <c r="B50" s="6" t="s">
        <v>38</v>
      </c>
      <c r="C50" s="7" t="s">
        <v>39</v>
      </c>
      <c r="D50" s="8"/>
      <c r="E50" s="8"/>
      <c r="F50" s="8">
        <v>29.45051712857083</v>
      </c>
      <c r="G50" s="8"/>
      <c r="H50" s="8" t="s">
        <v>58</v>
      </c>
      <c r="I50" s="8">
        <v>768.72000000000014</v>
      </c>
      <c r="J50" s="8">
        <v>0</v>
      </c>
      <c r="K50" s="8">
        <v>0</v>
      </c>
      <c r="L50" s="8">
        <v>0</v>
      </c>
      <c r="M50" s="13"/>
      <c r="N50" s="13"/>
      <c r="O50" s="13"/>
      <c r="P50" s="13"/>
      <c r="Q50" s="13"/>
      <c r="R50" s="13"/>
      <c r="S50" s="13">
        <f t="shared" ref="S50" si="13">R50+Q50+P50+O50+N50+M50</f>
        <v>0</v>
      </c>
      <c r="T50" s="4" t="s">
        <v>59</v>
      </c>
      <c r="U50" s="26"/>
      <c r="V50" s="26"/>
    </row>
    <row r="51" spans="1:22" s="14" customFormat="1" x14ac:dyDescent="0.25">
      <c r="A51" s="100"/>
      <c r="B51" s="6" t="s">
        <v>47</v>
      </c>
      <c r="C51" s="7" t="s">
        <v>48</v>
      </c>
      <c r="D51" s="8"/>
      <c r="E51" s="8">
        <v>468.95727911736992</v>
      </c>
      <c r="F51" s="8"/>
      <c r="G51" s="8">
        <v>2947.6778736201404</v>
      </c>
      <c r="H51" s="11">
        <f t="shared" si="12"/>
        <v>-2899.5851527375107</v>
      </c>
      <c r="I51" s="8">
        <v>517.04999999999984</v>
      </c>
      <c r="J51" s="8">
        <v>0</v>
      </c>
      <c r="K51" s="8">
        <v>2027.0799999999992</v>
      </c>
      <c r="L51" s="8">
        <v>0</v>
      </c>
      <c r="M51" s="13">
        <v>2671</v>
      </c>
      <c r="N51" s="13"/>
      <c r="O51" s="13"/>
      <c r="P51" s="13"/>
      <c r="Q51" s="13"/>
      <c r="R51" s="13"/>
      <c r="S51" s="13">
        <f t="shared" si="10"/>
        <v>2671</v>
      </c>
      <c r="T51" s="4" t="s">
        <v>135</v>
      </c>
      <c r="U51" s="26"/>
      <c r="V51" s="26"/>
    </row>
    <row r="52" spans="1:22" s="14" customFormat="1" x14ac:dyDescent="0.25">
      <c r="A52" s="101"/>
      <c r="B52" s="6" t="s">
        <v>49</v>
      </c>
      <c r="C52" s="7" t="s">
        <v>50</v>
      </c>
      <c r="D52" s="8"/>
      <c r="E52" s="8">
        <v>300.13265863511674</v>
      </c>
      <c r="F52" s="8"/>
      <c r="G52" s="8">
        <v>2959.4955970538981</v>
      </c>
      <c r="H52" s="11">
        <f t="shared" si="12"/>
        <v>-181.01825568901609</v>
      </c>
      <c r="I52" s="8">
        <v>3078.6099999999988</v>
      </c>
      <c r="J52" s="8">
        <v>0</v>
      </c>
      <c r="K52" s="8">
        <v>0</v>
      </c>
      <c r="L52" s="8">
        <v>1163.93</v>
      </c>
      <c r="M52" s="13"/>
      <c r="N52" s="13"/>
      <c r="O52" s="13"/>
      <c r="P52" s="13"/>
      <c r="Q52" s="13">
        <v>1326</v>
      </c>
      <c r="R52" s="13"/>
      <c r="S52" s="13">
        <f t="shared" si="10"/>
        <v>1326</v>
      </c>
      <c r="T52" s="4" t="s">
        <v>135</v>
      </c>
      <c r="U52" s="26"/>
      <c r="V52" s="26"/>
    </row>
    <row r="54" spans="1:22" x14ac:dyDescent="0.25">
      <c r="A54" s="102" t="s">
        <v>18</v>
      </c>
      <c r="B54" s="102"/>
      <c r="C54" s="102" t="s">
        <v>30</v>
      </c>
      <c r="D54" s="94" t="s">
        <v>19</v>
      </c>
      <c r="E54" s="95"/>
      <c r="F54" s="95"/>
      <c r="G54" s="96"/>
      <c r="H54" s="98" t="s">
        <v>0</v>
      </c>
      <c r="I54" s="97" t="s">
        <v>1</v>
      </c>
      <c r="J54" s="97"/>
      <c r="K54" s="97" t="s">
        <v>2</v>
      </c>
      <c r="L54" s="97"/>
      <c r="M54" s="115" t="s">
        <v>3</v>
      </c>
      <c r="N54" s="115"/>
      <c r="O54" s="115"/>
      <c r="P54" s="115"/>
      <c r="Q54" s="115"/>
      <c r="R54" s="115"/>
      <c r="S54" s="116" t="s">
        <v>34</v>
      </c>
      <c r="T54" s="98" t="s">
        <v>35</v>
      </c>
    </row>
    <row r="55" spans="1:22" x14ac:dyDescent="0.25">
      <c r="A55" s="34" t="s">
        <v>20</v>
      </c>
      <c r="B55" s="34" t="s">
        <v>21</v>
      </c>
      <c r="C55" s="102"/>
      <c r="D55" s="10">
        <v>46256</v>
      </c>
      <c r="E55" s="10">
        <v>46269</v>
      </c>
      <c r="F55" s="10">
        <v>46275</v>
      </c>
      <c r="G55" s="10">
        <v>46285</v>
      </c>
      <c r="H55" s="98"/>
      <c r="I55" s="35" t="s">
        <v>4</v>
      </c>
      <c r="J55" s="35" t="s">
        <v>5</v>
      </c>
      <c r="K55" s="35" t="s">
        <v>6</v>
      </c>
      <c r="L55" s="35" t="s">
        <v>7</v>
      </c>
      <c r="M55" s="36" t="s">
        <v>8</v>
      </c>
      <c r="N55" s="5" t="s">
        <v>9</v>
      </c>
      <c r="O55" s="5" t="s">
        <v>27</v>
      </c>
      <c r="P55" s="36" t="s">
        <v>10</v>
      </c>
      <c r="Q55" s="36" t="s">
        <v>11</v>
      </c>
      <c r="R55" s="12" t="s">
        <v>40</v>
      </c>
      <c r="S55" s="116"/>
      <c r="T55" s="98"/>
    </row>
    <row r="56" spans="1:22" x14ac:dyDescent="0.25">
      <c r="A56" s="117" t="s">
        <v>78</v>
      </c>
      <c r="B56" s="6" t="s">
        <v>79</v>
      </c>
      <c r="C56" s="7" t="s">
        <v>80</v>
      </c>
      <c r="D56" s="8">
        <v>1.8384228538021801</v>
      </c>
      <c r="E56" s="8">
        <v>2.7576342807032699</v>
      </c>
      <c r="F56" s="8">
        <v>25.967722809955792</v>
      </c>
      <c r="G56" s="8">
        <v>7.3536914152087203</v>
      </c>
      <c r="H56" s="8" t="s">
        <v>58</v>
      </c>
      <c r="I56" s="13">
        <v>171.19</v>
      </c>
      <c r="J56" s="13">
        <v>0</v>
      </c>
      <c r="K56" s="13">
        <v>0</v>
      </c>
      <c r="L56" s="13">
        <v>0</v>
      </c>
      <c r="M56" s="13"/>
      <c r="N56" s="13"/>
      <c r="O56" s="13"/>
      <c r="P56" s="13"/>
      <c r="Q56" s="13"/>
      <c r="R56" s="13"/>
      <c r="S56" s="13">
        <f t="shared" ref="S56:S58" si="14">Q56+P56+O56+N56+M56+R56</f>
        <v>0</v>
      </c>
      <c r="T56" s="4" t="s">
        <v>59</v>
      </c>
    </row>
    <row r="57" spans="1:22" x14ac:dyDescent="0.25">
      <c r="A57" s="118"/>
      <c r="B57" s="6" t="s">
        <v>90</v>
      </c>
      <c r="C57" s="7" t="s">
        <v>91</v>
      </c>
      <c r="D57" s="8"/>
      <c r="E57" s="8"/>
      <c r="F57" s="8">
        <v>10.11132569591199</v>
      </c>
      <c r="G57" s="8">
        <v>2.7576342807032699</v>
      </c>
      <c r="H57" s="11">
        <f>I57+J57-F57-E57-D57-G57</f>
        <v>-12.86895997661526</v>
      </c>
      <c r="I57" s="13"/>
      <c r="J57" s="13"/>
      <c r="K57" s="13"/>
      <c r="L57" s="13"/>
      <c r="M57" s="13"/>
      <c r="N57" s="13"/>
      <c r="O57" s="13"/>
      <c r="P57" s="13">
        <v>446.5</v>
      </c>
      <c r="Q57" s="13"/>
      <c r="R57" s="13"/>
      <c r="S57" s="13">
        <f t="shared" si="14"/>
        <v>446.5</v>
      </c>
      <c r="T57" s="4" t="s">
        <v>171</v>
      </c>
    </row>
    <row r="58" spans="1:22" x14ac:dyDescent="0.25">
      <c r="A58" s="119"/>
      <c r="B58" s="6" t="s">
        <v>81</v>
      </c>
      <c r="C58" s="7" t="s">
        <v>82</v>
      </c>
      <c r="D58" s="8">
        <v>1.6086199970769075</v>
      </c>
      <c r="E58" s="8">
        <v>44.122148491252318</v>
      </c>
      <c r="F58" s="8">
        <v>17.924622824571255</v>
      </c>
      <c r="G58" s="8">
        <v>7.3536914152087203</v>
      </c>
      <c r="H58" s="8" t="s">
        <v>58</v>
      </c>
      <c r="I58" s="13">
        <v>191</v>
      </c>
      <c r="J58" s="13">
        <v>0</v>
      </c>
      <c r="K58" s="13">
        <v>0</v>
      </c>
      <c r="L58" s="13"/>
      <c r="M58" s="13"/>
      <c r="N58" s="13">
        <v>237.5</v>
      </c>
      <c r="O58" s="13"/>
      <c r="P58" s="13"/>
      <c r="Q58" s="13"/>
      <c r="R58" s="13"/>
      <c r="S58" s="13">
        <f t="shared" si="14"/>
        <v>237.5</v>
      </c>
      <c r="T58" s="4" t="s">
        <v>59</v>
      </c>
    </row>
    <row r="60" spans="1:22" x14ac:dyDescent="0.25">
      <c r="A60" s="102" t="s">
        <v>18</v>
      </c>
      <c r="B60" s="102"/>
      <c r="C60" s="102" t="s">
        <v>30</v>
      </c>
      <c r="D60" s="94" t="s">
        <v>19</v>
      </c>
      <c r="E60" s="95"/>
      <c r="F60" s="96"/>
      <c r="G60" s="98" t="s">
        <v>0</v>
      </c>
      <c r="H60" s="97" t="s">
        <v>1</v>
      </c>
      <c r="I60" s="97"/>
      <c r="J60" s="97" t="s">
        <v>2</v>
      </c>
      <c r="K60" s="97"/>
      <c r="L60" s="115" t="s">
        <v>3</v>
      </c>
      <c r="M60" s="115"/>
      <c r="N60" s="115"/>
      <c r="O60" s="115"/>
      <c r="P60" s="115"/>
      <c r="Q60" s="115"/>
      <c r="R60" s="116" t="s">
        <v>34</v>
      </c>
      <c r="S60" s="98" t="s">
        <v>35</v>
      </c>
    </row>
    <row r="61" spans="1:22" x14ac:dyDescent="0.25">
      <c r="A61" s="34" t="s">
        <v>20</v>
      </c>
      <c r="B61" s="34" t="s">
        <v>21</v>
      </c>
      <c r="C61" s="102"/>
      <c r="D61" s="10">
        <v>46262</v>
      </c>
      <c r="E61" s="10">
        <v>46275</v>
      </c>
      <c r="F61" s="10">
        <v>46285</v>
      </c>
      <c r="G61" s="98"/>
      <c r="H61" s="35" t="s">
        <v>4</v>
      </c>
      <c r="I61" s="35" t="s">
        <v>5</v>
      </c>
      <c r="J61" s="35" t="s">
        <v>6</v>
      </c>
      <c r="K61" s="35" t="s">
        <v>7</v>
      </c>
      <c r="L61" s="36" t="s">
        <v>8</v>
      </c>
      <c r="M61" s="5" t="s">
        <v>9</v>
      </c>
      <c r="N61" s="5" t="s">
        <v>27</v>
      </c>
      <c r="O61" s="36" t="s">
        <v>10</v>
      </c>
      <c r="P61" s="36" t="s">
        <v>11</v>
      </c>
      <c r="Q61" s="12" t="s">
        <v>40</v>
      </c>
      <c r="R61" s="116"/>
      <c r="S61" s="98"/>
    </row>
    <row r="62" spans="1:22" x14ac:dyDescent="0.25">
      <c r="A62" s="106" t="s">
        <v>77</v>
      </c>
      <c r="B62" s="6" t="s">
        <v>71</v>
      </c>
      <c r="C62" s="7" t="s">
        <v>72</v>
      </c>
      <c r="D62" s="8">
        <v>2948.2621114772687</v>
      </c>
      <c r="E62" s="8">
        <v>158.40242659622126</v>
      </c>
      <c r="F62" s="8">
        <v>896.27993936261942</v>
      </c>
      <c r="G62" s="11">
        <f>H62+I62-F62-E62-D62</f>
        <v>-412.91747743610995</v>
      </c>
      <c r="H62" s="13">
        <v>3590.0269999999996</v>
      </c>
      <c r="I62" s="13">
        <v>0</v>
      </c>
      <c r="J62" s="13">
        <v>1083.71</v>
      </c>
      <c r="K62" s="13">
        <v>2055.0999999999995</v>
      </c>
      <c r="L62" s="13"/>
      <c r="M62" s="13">
        <v>1619.5</v>
      </c>
      <c r="N62" s="13">
        <v>761.5</v>
      </c>
      <c r="O62" s="13">
        <v>1596.5</v>
      </c>
      <c r="P62" s="13">
        <v>5527.5</v>
      </c>
      <c r="Q62" s="13"/>
      <c r="R62" s="13">
        <f>Q62+P62+O62+N62+M62+L62</f>
        <v>9505</v>
      </c>
      <c r="S62" s="4" t="s">
        <v>106</v>
      </c>
    </row>
    <row r="63" spans="1:22" x14ac:dyDescent="0.25">
      <c r="A63" s="106"/>
      <c r="B63" s="6" t="s">
        <v>55</v>
      </c>
      <c r="C63" s="7" t="s">
        <v>56</v>
      </c>
      <c r="D63" s="8"/>
      <c r="E63" s="8">
        <v>285.57095956659271</v>
      </c>
      <c r="F63" s="8">
        <v>68.812279413636801</v>
      </c>
      <c r="G63" s="8" t="s">
        <v>58</v>
      </c>
      <c r="H63" s="13">
        <v>5610.6919999999982</v>
      </c>
      <c r="I63" s="13">
        <v>0</v>
      </c>
      <c r="J63" s="13">
        <v>381.8</v>
      </c>
      <c r="K63" s="13">
        <v>0</v>
      </c>
      <c r="L63" s="30"/>
      <c r="M63" s="30"/>
      <c r="N63" s="31"/>
      <c r="O63" s="30"/>
      <c r="P63" s="30"/>
      <c r="Q63" s="13"/>
      <c r="R63" s="13">
        <f>Q63+P63+O63+N63+M63+L63</f>
        <v>0</v>
      </c>
      <c r="S63" s="4" t="s">
        <v>59</v>
      </c>
    </row>
    <row r="64" spans="1:22" x14ac:dyDescent="0.25">
      <c r="A64" s="106"/>
      <c r="B64" s="6" t="s">
        <v>57</v>
      </c>
      <c r="C64" s="7" t="s">
        <v>33</v>
      </c>
      <c r="D64" s="8">
        <v>405.99244854045713</v>
      </c>
      <c r="E64" s="8"/>
      <c r="F64" s="8">
        <v>496.65262666792358</v>
      </c>
      <c r="G64" s="8" t="s">
        <v>58</v>
      </c>
      <c r="H64" s="13">
        <v>2403.0970000000007</v>
      </c>
      <c r="I64" s="13">
        <v>759.05999999999983</v>
      </c>
      <c r="J64" s="13">
        <v>2327.7999999999993</v>
      </c>
      <c r="K64" s="13">
        <v>1886.7600000000007</v>
      </c>
      <c r="L64" s="30">
        <v>593</v>
      </c>
      <c r="M64" s="30">
        <v>3548</v>
      </c>
      <c r="N64" s="31"/>
      <c r="O64" s="30">
        <v>8558.5</v>
      </c>
      <c r="P64" s="30">
        <v>14107.5</v>
      </c>
      <c r="Q64" s="13"/>
      <c r="R64" s="13">
        <f>Q64+P64+O64+N64+M64+L64</f>
        <v>26807</v>
      </c>
      <c r="S64" s="4" t="s">
        <v>59</v>
      </c>
    </row>
    <row r="65" spans="1:19" x14ac:dyDescent="0.25">
      <c r="A65" s="106"/>
      <c r="B65" s="6" t="s">
        <v>97</v>
      </c>
      <c r="C65" s="7" t="s">
        <v>98</v>
      </c>
      <c r="D65" s="8">
        <v>1350.9570755882244</v>
      </c>
      <c r="E65" s="8"/>
      <c r="F65" s="8"/>
      <c r="G65" s="8" t="s">
        <v>58</v>
      </c>
      <c r="H65" s="13">
        <v>1458.2219999999998</v>
      </c>
      <c r="I65" s="13">
        <v>0</v>
      </c>
      <c r="J65" s="13">
        <v>0</v>
      </c>
      <c r="K65" s="13">
        <v>0</v>
      </c>
      <c r="L65" s="30"/>
      <c r="M65" s="30"/>
      <c r="N65" s="31"/>
      <c r="O65" s="30"/>
      <c r="P65" s="30"/>
      <c r="Q65" s="13"/>
      <c r="R65" s="13">
        <f>Q65+P65+O65+N65+M65+L65</f>
        <v>0</v>
      </c>
      <c r="S65" s="4" t="s">
        <v>59</v>
      </c>
    </row>
    <row r="67" spans="1:19" x14ac:dyDescent="0.25">
      <c r="A67" s="81" t="s">
        <v>18</v>
      </c>
      <c r="B67" s="82"/>
      <c r="C67" s="83" t="s">
        <v>30</v>
      </c>
      <c r="D67" s="43" t="s">
        <v>19</v>
      </c>
      <c r="E67" s="85" t="s">
        <v>0</v>
      </c>
      <c r="F67" s="87" t="s">
        <v>1</v>
      </c>
      <c r="G67" s="88"/>
      <c r="H67" s="87" t="s">
        <v>2</v>
      </c>
      <c r="I67" s="88"/>
      <c r="J67" s="89" t="s">
        <v>3</v>
      </c>
      <c r="K67" s="90"/>
      <c r="L67" s="90"/>
      <c r="M67" s="90"/>
      <c r="N67" s="90"/>
      <c r="O67" s="91"/>
      <c r="P67" s="92" t="s">
        <v>34</v>
      </c>
      <c r="Q67" s="98" t="s">
        <v>35</v>
      </c>
    </row>
    <row r="68" spans="1:19" x14ac:dyDescent="0.25">
      <c r="A68" s="34" t="s">
        <v>20</v>
      </c>
      <c r="B68" s="34" t="s">
        <v>21</v>
      </c>
      <c r="C68" s="84"/>
      <c r="D68" s="10">
        <v>46282</v>
      </c>
      <c r="E68" s="86"/>
      <c r="F68" s="35" t="s">
        <v>4</v>
      </c>
      <c r="G68" s="35" t="s">
        <v>5</v>
      </c>
      <c r="H68" s="35" t="s">
        <v>6</v>
      </c>
      <c r="I68" s="35" t="s">
        <v>7</v>
      </c>
      <c r="J68" s="36" t="s">
        <v>8</v>
      </c>
      <c r="K68" s="5" t="s">
        <v>9</v>
      </c>
      <c r="L68" s="5" t="s">
        <v>27</v>
      </c>
      <c r="M68" s="36" t="s">
        <v>10</v>
      </c>
      <c r="N68" s="36" t="s">
        <v>11</v>
      </c>
      <c r="O68" s="12" t="s">
        <v>40</v>
      </c>
      <c r="P68" s="93"/>
      <c r="Q68" s="98"/>
    </row>
    <row r="69" spans="1:19" x14ac:dyDescent="0.25">
      <c r="A69" s="37" t="s">
        <v>147</v>
      </c>
      <c r="B69" s="6" t="s">
        <v>148</v>
      </c>
      <c r="C69" s="7" t="s">
        <v>149</v>
      </c>
      <c r="D69" s="8">
        <v>5513.180160248191</v>
      </c>
      <c r="E69" s="11">
        <f>F69+G69-D69</f>
        <v>-246.48016024818935</v>
      </c>
      <c r="F69" s="13">
        <v>5266.7000000000016</v>
      </c>
      <c r="G69" s="13">
        <v>0</v>
      </c>
      <c r="H69" s="13">
        <v>0</v>
      </c>
      <c r="I69" s="13">
        <v>23.62</v>
      </c>
      <c r="J69" s="13"/>
      <c r="K69" s="13"/>
      <c r="L69" s="13"/>
      <c r="M69" s="13"/>
      <c r="N69" s="13"/>
      <c r="O69" s="13"/>
      <c r="P69" s="13">
        <f>O69+N69+M69+L69+K69+J69</f>
        <v>0</v>
      </c>
      <c r="Q69" s="4" t="s">
        <v>59</v>
      </c>
    </row>
    <row r="71" spans="1:19" ht="14.25" customHeight="1" x14ac:dyDescent="0.25">
      <c r="A71" s="81" t="s">
        <v>18</v>
      </c>
      <c r="B71" s="82"/>
      <c r="C71" s="83" t="s">
        <v>30</v>
      </c>
      <c r="D71" s="94" t="s">
        <v>19</v>
      </c>
      <c r="E71" s="96"/>
      <c r="F71" s="85" t="s">
        <v>0</v>
      </c>
      <c r="G71" s="87" t="s">
        <v>1</v>
      </c>
      <c r="H71" s="88"/>
      <c r="I71" s="87" t="s">
        <v>2</v>
      </c>
      <c r="J71" s="88"/>
      <c r="K71" s="89" t="s">
        <v>3</v>
      </c>
      <c r="L71" s="90"/>
      <c r="M71" s="90"/>
      <c r="N71" s="90"/>
      <c r="O71" s="90"/>
      <c r="P71" s="91"/>
      <c r="Q71" s="92" t="s">
        <v>34</v>
      </c>
      <c r="R71" s="85" t="s">
        <v>35</v>
      </c>
    </row>
    <row r="72" spans="1:19" ht="14.25" customHeight="1" x14ac:dyDescent="0.25">
      <c r="A72" s="34" t="s">
        <v>20</v>
      </c>
      <c r="B72" s="34" t="s">
        <v>21</v>
      </c>
      <c r="C72" s="84"/>
      <c r="D72" s="10">
        <v>46262</v>
      </c>
      <c r="E72" s="10">
        <v>46275</v>
      </c>
      <c r="F72" s="86"/>
      <c r="G72" s="35" t="s">
        <v>4</v>
      </c>
      <c r="H72" s="35" t="s">
        <v>5</v>
      </c>
      <c r="I72" s="35" t="s">
        <v>6</v>
      </c>
      <c r="J72" s="35" t="s">
        <v>7</v>
      </c>
      <c r="K72" s="36" t="s">
        <v>8</v>
      </c>
      <c r="L72" s="5" t="s">
        <v>9</v>
      </c>
      <c r="M72" s="5" t="s">
        <v>27</v>
      </c>
      <c r="N72" s="36" t="s">
        <v>10</v>
      </c>
      <c r="O72" s="36" t="s">
        <v>11</v>
      </c>
      <c r="P72" s="12" t="s">
        <v>40</v>
      </c>
      <c r="Q72" s="93"/>
      <c r="R72" s="86"/>
    </row>
    <row r="73" spans="1:19" ht="14.25" customHeight="1" x14ac:dyDescent="0.25">
      <c r="A73" s="109" t="s">
        <v>85</v>
      </c>
      <c r="B73" s="6" t="s">
        <v>86</v>
      </c>
      <c r="C73" s="7" t="s">
        <v>87</v>
      </c>
      <c r="D73" s="8">
        <v>149.02442631301247</v>
      </c>
      <c r="E73" s="8">
        <v>4.5643009590509172</v>
      </c>
      <c r="F73" s="8" t="s">
        <v>58</v>
      </c>
      <c r="G73" s="8">
        <v>448.47799999999995</v>
      </c>
      <c r="H73" s="8">
        <v>0</v>
      </c>
      <c r="I73" s="8">
        <v>0</v>
      </c>
      <c r="J73" s="8">
        <v>127.09899999999999</v>
      </c>
      <c r="K73" s="8"/>
      <c r="L73" s="8"/>
      <c r="M73" s="8"/>
      <c r="N73" s="8"/>
      <c r="O73" s="8"/>
      <c r="P73" s="8"/>
      <c r="Q73" s="13">
        <f>O73+N73+M73+L73+K73+P73</f>
        <v>0</v>
      </c>
      <c r="R73" s="4" t="s">
        <v>59</v>
      </c>
    </row>
    <row r="74" spans="1:19" ht="14.25" customHeight="1" x14ac:dyDescent="0.25">
      <c r="A74" s="114"/>
      <c r="B74" s="6" t="s">
        <v>88</v>
      </c>
      <c r="C74" s="7" t="s">
        <v>89</v>
      </c>
      <c r="D74" s="8">
        <v>31.493676617451332</v>
      </c>
      <c r="E74" s="8"/>
      <c r="F74" s="8" t="s">
        <v>58</v>
      </c>
      <c r="G74" s="8">
        <v>808.20500000000004</v>
      </c>
      <c r="H74" s="8">
        <v>0</v>
      </c>
      <c r="I74" s="8">
        <v>0</v>
      </c>
      <c r="J74" s="8">
        <v>0</v>
      </c>
      <c r="K74" s="8"/>
      <c r="L74" s="8"/>
      <c r="M74" s="8"/>
      <c r="N74" s="8"/>
      <c r="O74" s="8"/>
      <c r="P74" s="8"/>
      <c r="Q74" s="13">
        <f t="shared" ref="Q74:Q75" si="15">O74+N74+M74+L74+K74+P74</f>
        <v>0</v>
      </c>
      <c r="R74" s="4" t="s">
        <v>59</v>
      </c>
    </row>
    <row r="75" spans="1:19" ht="14.25" customHeight="1" x14ac:dyDescent="0.25">
      <c r="A75" s="114"/>
      <c r="B75" s="6" t="s">
        <v>90</v>
      </c>
      <c r="C75" s="7" t="s">
        <v>91</v>
      </c>
      <c r="D75" s="8">
        <v>53.858751316800827</v>
      </c>
      <c r="E75" s="8"/>
      <c r="F75" s="8" t="s">
        <v>58</v>
      </c>
      <c r="G75" s="8">
        <v>762.3249999999997</v>
      </c>
      <c r="H75" s="8">
        <v>0</v>
      </c>
      <c r="I75" s="8">
        <v>0</v>
      </c>
      <c r="J75" s="8">
        <v>0</v>
      </c>
      <c r="K75" s="8"/>
      <c r="L75" s="8"/>
      <c r="M75" s="8"/>
      <c r="N75" s="8"/>
      <c r="O75" s="8"/>
      <c r="P75" s="8"/>
      <c r="Q75" s="13">
        <f t="shared" si="15"/>
        <v>0</v>
      </c>
      <c r="R75" s="4" t="s">
        <v>59</v>
      </c>
    </row>
    <row r="76" spans="1:19" ht="14.25" customHeight="1" x14ac:dyDescent="0.25"/>
    <row r="77" spans="1:19" x14ac:dyDescent="0.25">
      <c r="A77" s="81" t="s">
        <v>18</v>
      </c>
      <c r="B77" s="82"/>
      <c r="C77" s="83" t="s">
        <v>30</v>
      </c>
      <c r="D77" s="17" t="s">
        <v>19</v>
      </c>
      <c r="E77" s="85" t="s">
        <v>0</v>
      </c>
      <c r="F77" s="87" t="s">
        <v>1</v>
      </c>
      <c r="G77" s="88"/>
      <c r="H77" s="87" t="s">
        <v>2</v>
      </c>
      <c r="I77" s="88"/>
      <c r="J77" s="89" t="s">
        <v>3</v>
      </c>
      <c r="K77" s="90"/>
      <c r="L77" s="90"/>
      <c r="M77" s="90"/>
      <c r="N77" s="90"/>
      <c r="O77" s="91"/>
      <c r="P77" s="92" t="s">
        <v>34</v>
      </c>
      <c r="Q77" s="85" t="s">
        <v>35</v>
      </c>
    </row>
    <row r="78" spans="1:19" x14ac:dyDescent="0.25">
      <c r="A78" s="34" t="s">
        <v>20</v>
      </c>
      <c r="B78" s="34" t="s">
        <v>21</v>
      </c>
      <c r="C78" s="84"/>
      <c r="D78" s="10">
        <v>46262</v>
      </c>
      <c r="E78" s="86"/>
      <c r="F78" s="35" t="s">
        <v>4</v>
      </c>
      <c r="G78" s="35" t="s">
        <v>5</v>
      </c>
      <c r="H78" s="35" t="s">
        <v>6</v>
      </c>
      <c r="I78" s="35" t="s">
        <v>7</v>
      </c>
      <c r="J78" s="36" t="s">
        <v>8</v>
      </c>
      <c r="K78" s="5" t="s">
        <v>9</v>
      </c>
      <c r="L78" s="5" t="s">
        <v>27</v>
      </c>
      <c r="M78" s="36" t="s">
        <v>10</v>
      </c>
      <c r="N78" s="36" t="s">
        <v>11</v>
      </c>
      <c r="O78" s="12" t="s">
        <v>40</v>
      </c>
      <c r="P78" s="93"/>
      <c r="Q78" s="86"/>
    </row>
    <row r="79" spans="1:19" x14ac:dyDescent="0.25">
      <c r="A79" s="37" t="s">
        <v>92</v>
      </c>
      <c r="B79" s="6" t="s">
        <v>93</v>
      </c>
      <c r="C79" s="7" t="s">
        <v>94</v>
      </c>
      <c r="D79" s="8">
        <v>4.3662542777801772</v>
      </c>
      <c r="E79" s="8" t="s">
        <v>58</v>
      </c>
      <c r="F79" s="13">
        <v>232.18200000000007</v>
      </c>
      <c r="G79" s="13">
        <v>0</v>
      </c>
      <c r="H79" s="13">
        <v>0</v>
      </c>
      <c r="I79" s="13">
        <v>0</v>
      </c>
      <c r="J79" s="13"/>
      <c r="K79" s="13"/>
      <c r="L79" s="13"/>
      <c r="M79" s="13"/>
      <c r="N79" s="13"/>
      <c r="O79" s="13"/>
      <c r="P79" s="13">
        <f>N79+M79+L79+K79+J79+O79</f>
        <v>0</v>
      </c>
      <c r="Q79" s="4" t="s">
        <v>59</v>
      </c>
    </row>
    <row r="81" spans="1:20" ht="16.5" x14ac:dyDescent="0.3">
      <c r="A81" s="81" t="s">
        <v>18</v>
      </c>
      <c r="B81" s="82"/>
      <c r="C81" s="83" t="s">
        <v>30</v>
      </c>
      <c r="D81" s="17" t="s">
        <v>19</v>
      </c>
      <c r="E81" s="85" t="s">
        <v>0</v>
      </c>
      <c r="F81" s="87" t="s">
        <v>1</v>
      </c>
      <c r="G81" s="88"/>
      <c r="H81" s="87" t="s">
        <v>2</v>
      </c>
      <c r="I81" s="88"/>
      <c r="J81" s="89" t="s">
        <v>3</v>
      </c>
      <c r="K81" s="90"/>
      <c r="L81" s="90"/>
      <c r="M81" s="90"/>
      <c r="N81" s="90"/>
      <c r="O81" s="91"/>
      <c r="P81" s="92" t="s">
        <v>34</v>
      </c>
      <c r="Q81" s="98" t="s">
        <v>35</v>
      </c>
      <c r="R81" s="1"/>
      <c r="T81" s="3"/>
    </row>
    <row r="82" spans="1:20" ht="16.5" x14ac:dyDescent="0.3">
      <c r="A82" s="34" t="s">
        <v>20</v>
      </c>
      <c r="B82" s="34" t="s">
        <v>21</v>
      </c>
      <c r="C82" s="84"/>
      <c r="D82" s="10">
        <v>46262</v>
      </c>
      <c r="E82" s="86"/>
      <c r="F82" s="35" t="s">
        <v>4</v>
      </c>
      <c r="G82" s="35" t="s">
        <v>5</v>
      </c>
      <c r="H82" s="35" t="s">
        <v>6</v>
      </c>
      <c r="I82" s="35" t="s">
        <v>7</v>
      </c>
      <c r="J82" s="36" t="s">
        <v>8</v>
      </c>
      <c r="K82" s="5" t="s">
        <v>9</v>
      </c>
      <c r="L82" s="5" t="s">
        <v>27</v>
      </c>
      <c r="M82" s="36" t="s">
        <v>10</v>
      </c>
      <c r="N82" s="36" t="s">
        <v>11</v>
      </c>
      <c r="O82" s="12" t="s">
        <v>40</v>
      </c>
      <c r="P82" s="93"/>
      <c r="Q82" s="98"/>
      <c r="R82" s="25"/>
      <c r="T82" s="3"/>
    </row>
    <row r="83" spans="1:20" x14ac:dyDescent="0.25">
      <c r="A83" s="39" t="s">
        <v>74</v>
      </c>
      <c r="B83" s="6" t="s">
        <v>83</v>
      </c>
      <c r="C83" s="7" t="s">
        <v>84</v>
      </c>
      <c r="D83" s="8">
        <v>88.59219425182809</v>
      </c>
      <c r="E83" s="8" t="s">
        <v>58</v>
      </c>
      <c r="F83" s="13">
        <v>1614.72</v>
      </c>
      <c r="G83" s="13">
        <v>0</v>
      </c>
      <c r="H83" s="13">
        <v>207.54000000000002</v>
      </c>
      <c r="I83" s="13">
        <v>0</v>
      </c>
      <c r="J83" s="13"/>
      <c r="K83" s="13"/>
      <c r="L83" s="13"/>
      <c r="M83" s="13"/>
      <c r="N83" s="13"/>
      <c r="O83" s="13"/>
      <c r="P83" s="13">
        <f>O83+N83+M83+L83+K83+J83</f>
        <v>0</v>
      </c>
      <c r="Q83" s="4" t="s">
        <v>59</v>
      </c>
      <c r="R83" s="25"/>
    </row>
    <row r="85" spans="1:20" x14ac:dyDescent="0.25">
      <c r="A85" s="102" t="s">
        <v>18</v>
      </c>
      <c r="B85" s="102"/>
      <c r="C85" s="102" t="s">
        <v>30</v>
      </c>
      <c r="D85" s="43" t="s">
        <v>19</v>
      </c>
      <c r="E85" s="98" t="s">
        <v>0</v>
      </c>
      <c r="F85" s="97" t="s">
        <v>1</v>
      </c>
      <c r="G85" s="97"/>
      <c r="H85" s="97" t="s">
        <v>2</v>
      </c>
      <c r="I85" s="97"/>
      <c r="J85" s="115" t="s">
        <v>3</v>
      </c>
      <c r="K85" s="115"/>
      <c r="L85" s="115"/>
      <c r="M85" s="115"/>
      <c r="N85" s="115"/>
      <c r="O85" s="115"/>
      <c r="P85" s="116" t="s">
        <v>34</v>
      </c>
      <c r="Q85" s="98" t="s">
        <v>35</v>
      </c>
    </row>
    <row r="86" spans="1:20" x14ac:dyDescent="0.25">
      <c r="A86" s="34" t="s">
        <v>20</v>
      </c>
      <c r="B86" s="34" t="s">
        <v>21</v>
      </c>
      <c r="C86" s="102"/>
      <c r="D86" s="10">
        <v>46284</v>
      </c>
      <c r="E86" s="98"/>
      <c r="F86" s="35" t="s">
        <v>4</v>
      </c>
      <c r="G86" s="35" t="s">
        <v>5</v>
      </c>
      <c r="H86" s="35" t="s">
        <v>6</v>
      </c>
      <c r="I86" s="35" t="s">
        <v>7</v>
      </c>
      <c r="J86" s="36" t="s">
        <v>8</v>
      </c>
      <c r="K86" s="5" t="s">
        <v>9</v>
      </c>
      <c r="L86" s="5" t="s">
        <v>27</v>
      </c>
      <c r="M86" s="36" t="s">
        <v>10</v>
      </c>
      <c r="N86" s="36" t="s">
        <v>11</v>
      </c>
      <c r="O86" s="12" t="s">
        <v>40</v>
      </c>
      <c r="P86" s="116"/>
      <c r="Q86" s="98"/>
    </row>
    <row r="87" spans="1:20" x14ac:dyDescent="0.25">
      <c r="A87" s="37" t="s">
        <v>99</v>
      </c>
      <c r="B87" s="6" t="s">
        <v>75</v>
      </c>
      <c r="C87" s="7" t="s">
        <v>76</v>
      </c>
      <c r="D87" s="8">
        <v>102.66590331830994</v>
      </c>
      <c r="E87" s="8" t="s">
        <v>58</v>
      </c>
      <c r="F87" s="13">
        <v>683.86</v>
      </c>
      <c r="G87" s="13">
        <v>0</v>
      </c>
      <c r="H87" s="13">
        <v>3344.4599999999973</v>
      </c>
      <c r="I87" s="13">
        <v>0</v>
      </c>
      <c r="J87" s="13"/>
      <c r="K87" s="13"/>
      <c r="L87" s="13"/>
      <c r="M87" s="13"/>
      <c r="N87" s="13"/>
      <c r="O87" s="13"/>
      <c r="P87" s="13">
        <f>O87+N87+M87+L87+K87+J87</f>
        <v>0</v>
      </c>
      <c r="Q87" s="4" t="s">
        <v>59</v>
      </c>
    </row>
    <row r="89" spans="1:20" x14ac:dyDescent="0.25">
      <c r="A89" s="102" t="s">
        <v>18</v>
      </c>
      <c r="B89" s="102"/>
      <c r="C89" s="102" t="s">
        <v>30</v>
      </c>
      <c r="D89" s="43" t="s">
        <v>19</v>
      </c>
      <c r="E89" s="98" t="s">
        <v>0</v>
      </c>
      <c r="F89" s="97" t="s">
        <v>1</v>
      </c>
      <c r="G89" s="97"/>
      <c r="H89" s="97" t="s">
        <v>2</v>
      </c>
      <c r="I89" s="97"/>
      <c r="J89" s="115" t="s">
        <v>3</v>
      </c>
      <c r="K89" s="115"/>
      <c r="L89" s="115"/>
      <c r="M89" s="115"/>
      <c r="N89" s="115"/>
      <c r="O89" s="115"/>
      <c r="P89" s="116" t="s">
        <v>34</v>
      </c>
      <c r="Q89" s="98" t="s">
        <v>35</v>
      </c>
    </row>
    <row r="90" spans="1:20" x14ac:dyDescent="0.25">
      <c r="A90" s="34" t="s">
        <v>20</v>
      </c>
      <c r="B90" s="34" t="s">
        <v>21</v>
      </c>
      <c r="C90" s="102"/>
      <c r="D90" s="10">
        <v>46262</v>
      </c>
      <c r="E90" s="98"/>
      <c r="F90" s="35" t="s">
        <v>4</v>
      </c>
      <c r="G90" s="35" t="s">
        <v>5</v>
      </c>
      <c r="H90" s="35" t="s">
        <v>6</v>
      </c>
      <c r="I90" s="35" t="s">
        <v>7</v>
      </c>
      <c r="J90" s="36" t="s">
        <v>8</v>
      </c>
      <c r="K90" s="5" t="s">
        <v>9</v>
      </c>
      <c r="L90" s="5" t="s">
        <v>27</v>
      </c>
      <c r="M90" s="36" t="s">
        <v>10</v>
      </c>
      <c r="N90" s="36" t="s">
        <v>11</v>
      </c>
      <c r="O90" s="12" t="s">
        <v>40</v>
      </c>
      <c r="P90" s="116"/>
      <c r="Q90" s="98"/>
    </row>
    <row r="91" spans="1:20" x14ac:dyDescent="0.25">
      <c r="A91" s="38" t="s">
        <v>128</v>
      </c>
      <c r="B91" s="6" t="s">
        <v>130</v>
      </c>
      <c r="C91" s="7" t="s">
        <v>131</v>
      </c>
      <c r="D91" s="8">
        <v>2.3297683099179669</v>
      </c>
      <c r="E91" s="8" t="s">
        <v>58</v>
      </c>
      <c r="F91" s="13">
        <v>31.826000000000001</v>
      </c>
      <c r="G91" s="13">
        <v>0</v>
      </c>
      <c r="H91" s="13">
        <v>0</v>
      </c>
      <c r="I91" s="13">
        <v>0</v>
      </c>
      <c r="J91" s="30"/>
      <c r="K91" s="30"/>
      <c r="L91" s="31"/>
      <c r="M91" s="30">
        <v>86</v>
      </c>
      <c r="N91" s="30"/>
      <c r="O91" s="13"/>
      <c r="P91" s="13">
        <f>O91+N91+M91+L91+K91+J91</f>
        <v>86</v>
      </c>
      <c r="Q91" s="4" t="s">
        <v>59</v>
      </c>
    </row>
    <row r="93" spans="1:20" x14ac:dyDescent="0.25">
      <c r="A93" s="102" t="s">
        <v>18</v>
      </c>
      <c r="B93" s="102"/>
      <c r="C93" s="102" t="s">
        <v>30</v>
      </c>
      <c r="D93" s="43" t="s">
        <v>19</v>
      </c>
      <c r="E93" s="85" t="s">
        <v>0</v>
      </c>
      <c r="F93" s="87" t="s">
        <v>1</v>
      </c>
      <c r="G93" s="88"/>
      <c r="H93" s="87" t="s">
        <v>2</v>
      </c>
      <c r="I93" s="88"/>
      <c r="J93" s="89" t="s">
        <v>3</v>
      </c>
      <c r="K93" s="90"/>
      <c r="L93" s="90"/>
      <c r="M93" s="90"/>
      <c r="N93" s="90"/>
      <c r="O93" s="91"/>
      <c r="P93" s="92" t="s">
        <v>34</v>
      </c>
      <c r="Q93" s="98" t="s">
        <v>35</v>
      </c>
    </row>
    <row r="94" spans="1:20" x14ac:dyDescent="0.25">
      <c r="A94" s="34" t="s">
        <v>20</v>
      </c>
      <c r="B94" s="34" t="s">
        <v>21</v>
      </c>
      <c r="C94" s="102"/>
      <c r="D94" s="10">
        <v>46263</v>
      </c>
      <c r="E94" s="86"/>
      <c r="F94" s="35" t="s">
        <v>4</v>
      </c>
      <c r="G94" s="35" t="s">
        <v>5</v>
      </c>
      <c r="H94" s="35" t="s">
        <v>6</v>
      </c>
      <c r="I94" s="35" t="s">
        <v>7</v>
      </c>
      <c r="J94" s="36" t="s">
        <v>8</v>
      </c>
      <c r="K94" s="5" t="s">
        <v>9</v>
      </c>
      <c r="L94" s="5" t="s">
        <v>27</v>
      </c>
      <c r="M94" s="36" t="s">
        <v>10</v>
      </c>
      <c r="N94" s="36" t="s">
        <v>11</v>
      </c>
      <c r="O94" s="12" t="s">
        <v>40</v>
      </c>
      <c r="P94" s="93"/>
      <c r="Q94" s="98"/>
    </row>
    <row r="95" spans="1:20" x14ac:dyDescent="0.25">
      <c r="A95" s="109" t="s">
        <v>142</v>
      </c>
      <c r="B95" s="6" t="s">
        <v>143</v>
      </c>
      <c r="C95" s="7" t="s">
        <v>144</v>
      </c>
      <c r="D95" s="8">
        <v>199.44793833478869</v>
      </c>
      <c r="E95" s="8" t="s">
        <v>58</v>
      </c>
      <c r="F95" s="13">
        <v>3029.8999999999978</v>
      </c>
      <c r="G95" s="13">
        <v>0</v>
      </c>
      <c r="H95" s="13">
        <v>0</v>
      </c>
      <c r="I95" s="13">
        <v>0</v>
      </c>
      <c r="J95" s="13"/>
      <c r="K95" s="13"/>
      <c r="L95" s="13"/>
      <c r="M95" s="13"/>
      <c r="N95" s="13"/>
      <c r="O95" s="13"/>
      <c r="P95" s="13">
        <f>O95+N95+M95+L95+K95+J95</f>
        <v>0</v>
      </c>
      <c r="Q95" s="4" t="s">
        <v>59</v>
      </c>
    </row>
    <row r="96" spans="1:20" x14ac:dyDescent="0.25">
      <c r="A96" s="114"/>
      <c r="B96" s="6" t="s">
        <v>168</v>
      </c>
      <c r="C96" s="7" t="s">
        <v>107</v>
      </c>
      <c r="D96" s="8">
        <v>172.91880551141136</v>
      </c>
      <c r="E96" s="8" t="s">
        <v>58</v>
      </c>
      <c r="F96" s="13">
        <v>1489.7300000000002</v>
      </c>
      <c r="G96" s="13">
        <v>0</v>
      </c>
      <c r="H96" s="13">
        <v>0</v>
      </c>
      <c r="I96" s="13">
        <v>0</v>
      </c>
      <c r="J96" s="13"/>
      <c r="K96" s="13"/>
      <c r="L96" s="13"/>
      <c r="M96" s="13"/>
      <c r="N96" s="13"/>
      <c r="O96" s="13"/>
      <c r="P96" s="13">
        <f t="shared" ref="P96" si="16">O96+N96+M96+L96+K96+J96</f>
        <v>0</v>
      </c>
      <c r="Q96" s="4" t="s">
        <v>59</v>
      </c>
    </row>
    <row r="97" spans="1:17" x14ac:dyDescent="0.25">
      <c r="A97" s="114"/>
      <c r="B97" s="6" t="s">
        <v>169</v>
      </c>
      <c r="C97" s="7" t="s">
        <v>170</v>
      </c>
      <c r="D97" s="8">
        <v>87.897729234081552</v>
      </c>
      <c r="E97" s="8" t="s">
        <v>58</v>
      </c>
      <c r="F97" s="13">
        <v>1650.03</v>
      </c>
      <c r="G97" s="13">
        <v>0</v>
      </c>
      <c r="H97" s="13">
        <v>0</v>
      </c>
      <c r="I97" s="13">
        <v>0</v>
      </c>
      <c r="J97" s="13"/>
      <c r="K97" s="13"/>
      <c r="L97" s="13"/>
      <c r="M97" s="13"/>
      <c r="N97" s="13"/>
      <c r="O97" s="13"/>
      <c r="P97" s="13">
        <f t="shared" ref="P97" si="17">O97+N97+M97+L97+K97+J97</f>
        <v>0</v>
      </c>
      <c r="Q97" s="4" t="s">
        <v>59</v>
      </c>
    </row>
    <row r="99" spans="1:17" x14ac:dyDescent="0.25">
      <c r="A99" s="102" t="s">
        <v>18</v>
      </c>
      <c r="B99" s="102"/>
      <c r="C99" s="102" t="s">
        <v>30</v>
      </c>
      <c r="D99" s="43" t="s">
        <v>19</v>
      </c>
      <c r="E99" s="85" t="s">
        <v>0</v>
      </c>
      <c r="F99" s="87" t="s">
        <v>1</v>
      </c>
      <c r="G99" s="88"/>
      <c r="H99" s="87" t="s">
        <v>2</v>
      </c>
      <c r="I99" s="88"/>
      <c r="J99" s="89" t="s">
        <v>3</v>
      </c>
      <c r="K99" s="90"/>
      <c r="L99" s="90"/>
      <c r="M99" s="90"/>
      <c r="N99" s="90"/>
      <c r="O99" s="91"/>
      <c r="P99" s="92" t="s">
        <v>34</v>
      </c>
      <c r="Q99" s="98" t="s">
        <v>35</v>
      </c>
    </row>
    <row r="100" spans="1:17" x14ac:dyDescent="0.25">
      <c r="A100" s="34" t="s">
        <v>20</v>
      </c>
      <c r="B100" s="34" t="s">
        <v>21</v>
      </c>
      <c r="C100" s="102"/>
      <c r="D100" s="10">
        <v>46263</v>
      </c>
      <c r="E100" s="86"/>
      <c r="F100" s="35" t="s">
        <v>4</v>
      </c>
      <c r="G100" s="35" t="s">
        <v>5</v>
      </c>
      <c r="H100" s="35" t="s">
        <v>6</v>
      </c>
      <c r="I100" s="35" t="s">
        <v>7</v>
      </c>
      <c r="J100" s="36" t="s">
        <v>8</v>
      </c>
      <c r="K100" s="5" t="s">
        <v>9</v>
      </c>
      <c r="L100" s="5" t="s">
        <v>27</v>
      </c>
      <c r="M100" s="36" t="s">
        <v>10</v>
      </c>
      <c r="N100" s="36" t="s">
        <v>11</v>
      </c>
      <c r="O100" s="12" t="s">
        <v>40</v>
      </c>
      <c r="P100" s="93"/>
      <c r="Q100" s="98"/>
    </row>
    <row r="101" spans="1:17" x14ac:dyDescent="0.25">
      <c r="A101" s="37" t="s">
        <v>150</v>
      </c>
      <c r="B101" s="6" t="s">
        <v>151</v>
      </c>
      <c r="C101" s="7" t="s">
        <v>140</v>
      </c>
      <c r="D101" s="8">
        <v>473.04959733251167</v>
      </c>
      <c r="E101" s="8" t="s">
        <v>58</v>
      </c>
      <c r="F101" s="13">
        <v>14205.939999999982</v>
      </c>
      <c r="G101" s="13">
        <v>1715.7300000000005</v>
      </c>
      <c r="H101" s="13">
        <v>15.66</v>
      </c>
      <c r="I101" s="13">
        <v>12.43</v>
      </c>
      <c r="J101" s="13"/>
      <c r="K101" s="13">
        <v>1748</v>
      </c>
      <c r="L101" s="13"/>
      <c r="M101" s="13">
        <v>3636</v>
      </c>
      <c r="N101" s="13"/>
      <c r="O101" s="13"/>
      <c r="P101" s="13">
        <f>O101+N101+M101+L101+K101+J101</f>
        <v>5384</v>
      </c>
      <c r="Q101" s="4" t="s">
        <v>59</v>
      </c>
    </row>
  </sheetData>
  <mergeCells count="133">
    <mergeCell ref="A1:P1"/>
    <mergeCell ref="A2:B2"/>
    <mergeCell ref="C2:C3"/>
    <mergeCell ref="D2:E2"/>
    <mergeCell ref="F2:F3"/>
    <mergeCell ref="G2:H2"/>
    <mergeCell ref="I2:J2"/>
    <mergeCell ref="K2:P2"/>
    <mergeCell ref="J11:O11"/>
    <mergeCell ref="P11:P12"/>
    <mergeCell ref="Q11:Q12"/>
    <mergeCell ref="A13:A14"/>
    <mergeCell ref="A15:Q15"/>
    <mergeCell ref="Q2:Q3"/>
    <mergeCell ref="R2:R3"/>
    <mergeCell ref="A4:A9"/>
    <mergeCell ref="A10:Q10"/>
    <mergeCell ref="A11:B11"/>
    <mergeCell ref="C11:C12"/>
    <mergeCell ref="E11:E12"/>
    <mergeCell ref="F11:G11"/>
    <mergeCell ref="H11:I11"/>
    <mergeCell ref="M35:R35"/>
    <mergeCell ref="S35:S36"/>
    <mergeCell ref="T35:T36"/>
    <mergeCell ref="A35:B35"/>
    <mergeCell ref="C35:C36"/>
    <mergeCell ref="D35:G35"/>
    <mergeCell ref="H35:H36"/>
    <mergeCell ref="I35:J35"/>
    <mergeCell ref="K35:L35"/>
    <mergeCell ref="E81:E82"/>
    <mergeCell ref="F81:G81"/>
    <mergeCell ref="H81:I81"/>
    <mergeCell ref="J81:O81"/>
    <mergeCell ref="P81:P82"/>
    <mergeCell ref="Q81:Q82"/>
    <mergeCell ref="Q71:Q72"/>
    <mergeCell ref="R71:R72"/>
    <mergeCell ref="A73:A75"/>
    <mergeCell ref="A77:B77"/>
    <mergeCell ref="C77:C78"/>
    <mergeCell ref="E77:E78"/>
    <mergeCell ref="F77:G77"/>
    <mergeCell ref="H77:I77"/>
    <mergeCell ref="J77:O77"/>
    <mergeCell ref="P77:P78"/>
    <mergeCell ref="A71:B71"/>
    <mergeCell ref="C71:C72"/>
    <mergeCell ref="D71:E71"/>
    <mergeCell ref="F71:F72"/>
    <mergeCell ref="G71:H71"/>
    <mergeCell ref="I71:J71"/>
    <mergeCell ref="K71:P71"/>
    <mergeCell ref="A37:A52"/>
    <mergeCell ref="D54:G54"/>
    <mergeCell ref="A60:B60"/>
    <mergeCell ref="C60:C61"/>
    <mergeCell ref="D60:F60"/>
    <mergeCell ref="Q85:Q86"/>
    <mergeCell ref="A89:B89"/>
    <mergeCell ref="C89:C90"/>
    <mergeCell ref="E89:E90"/>
    <mergeCell ref="F89:G89"/>
    <mergeCell ref="H89:I89"/>
    <mergeCell ref="J89:O89"/>
    <mergeCell ref="P89:P90"/>
    <mergeCell ref="Q89:Q90"/>
    <mergeCell ref="A85:B85"/>
    <mergeCell ref="C85:C86"/>
    <mergeCell ref="E85:E86"/>
    <mergeCell ref="F85:G85"/>
    <mergeCell ref="H85:I85"/>
    <mergeCell ref="J85:O85"/>
    <mergeCell ref="P85:P86"/>
    <mergeCell ref="Q77:Q78"/>
    <mergeCell ref="A81:B81"/>
    <mergeCell ref="C81:C82"/>
    <mergeCell ref="A16:B16"/>
    <mergeCell ref="C16:C17"/>
    <mergeCell ref="D16:G16"/>
    <mergeCell ref="M16:R16"/>
    <mergeCell ref="A18:A24"/>
    <mergeCell ref="E26:E27"/>
    <mergeCell ref="F26:G26"/>
    <mergeCell ref="H26:I26"/>
    <mergeCell ref="J26:O26"/>
    <mergeCell ref="A26:B26"/>
    <mergeCell ref="C26:C27"/>
    <mergeCell ref="P26:P27"/>
    <mergeCell ref="Q26:Q27"/>
    <mergeCell ref="A28:A33"/>
    <mergeCell ref="E99:E100"/>
    <mergeCell ref="F99:G99"/>
    <mergeCell ref="H99:I99"/>
    <mergeCell ref="J99:O99"/>
    <mergeCell ref="P99:P100"/>
    <mergeCell ref="A99:B99"/>
    <mergeCell ref="C99:C100"/>
    <mergeCell ref="Q99:Q100"/>
    <mergeCell ref="H93:I93"/>
    <mergeCell ref="J93:O93"/>
    <mergeCell ref="P93:P94"/>
    <mergeCell ref="Q93:Q94"/>
    <mergeCell ref="A62:A65"/>
    <mergeCell ref="A95:A97"/>
    <mergeCell ref="A93:B93"/>
    <mergeCell ref="C93:C94"/>
    <mergeCell ref="E93:E94"/>
    <mergeCell ref="F93:G93"/>
    <mergeCell ref="A54:B54"/>
    <mergeCell ref="G60:G61"/>
    <mergeCell ref="H60:I60"/>
    <mergeCell ref="P67:P68"/>
    <mergeCell ref="Q67:Q68"/>
    <mergeCell ref="K54:L54"/>
    <mergeCell ref="M54:R54"/>
    <mergeCell ref="S54:S55"/>
    <mergeCell ref="T54:T55"/>
    <mergeCell ref="A56:A58"/>
    <mergeCell ref="A67:B67"/>
    <mergeCell ref="C67:C68"/>
    <mergeCell ref="E67:E68"/>
    <mergeCell ref="F67:G67"/>
    <mergeCell ref="H67:I67"/>
    <mergeCell ref="J60:K60"/>
    <mergeCell ref="L60:Q60"/>
    <mergeCell ref="R60:R61"/>
    <mergeCell ref="S60:S61"/>
    <mergeCell ref="C54:C55"/>
    <mergeCell ref="H54:H55"/>
    <mergeCell ref="I54:J54"/>
    <mergeCell ref="J67:O67"/>
  </mergeCells>
  <pageMargins left="0.19" right="0.16" top="0.19" bottom="0.16" header="0.2" footer="0.16"/>
  <pageSetup paperSize="9" scale="58" orientation="landscape" r:id="rId1"/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"/>
  <sheetViews>
    <sheetView workbookViewId="0">
      <selection sqref="A1:XFD101"/>
    </sheetView>
  </sheetViews>
  <sheetFormatPr defaultRowHeight="15" x14ac:dyDescent="0.25"/>
  <cols>
    <col min="1" max="1" width="11" bestFit="1" customWidth="1"/>
    <col min="2" max="2" width="14.42578125" customWidth="1"/>
    <col min="3" max="3" width="33.7109375" customWidth="1"/>
    <col min="4" max="4" width="13.42578125" bestFit="1" customWidth="1"/>
    <col min="5" max="8" width="10" bestFit="1" customWidth="1"/>
    <col min="9" max="9" width="12.140625" bestFit="1" customWidth="1"/>
  </cols>
  <sheetData>
    <row r="1" spans="1:26" ht="23.25" x14ac:dyDescent="0.35">
      <c r="A1" s="80" t="s">
        <v>174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29"/>
      <c r="R1" s="28"/>
      <c r="S1" s="28"/>
      <c r="T1" s="28"/>
      <c r="U1" s="28"/>
    </row>
    <row r="2" spans="1:26" x14ac:dyDescent="0.25">
      <c r="A2" s="81" t="s">
        <v>18</v>
      </c>
      <c r="B2" s="82"/>
      <c r="C2" s="83" t="s">
        <v>30</v>
      </c>
      <c r="D2" s="94" t="s">
        <v>19</v>
      </c>
      <c r="E2" s="96"/>
      <c r="F2" s="85" t="s">
        <v>0</v>
      </c>
      <c r="G2" s="87" t="s">
        <v>1</v>
      </c>
      <c r="H2" s="88"/>
      <c r="I2" s="87" t="s">
        <v>2</v>
      </c>
      <c r="J2" s="88"/>
      <c r="K2" s="89" t="s">
        <v>3</v>
      </c>
      <c r="L2" s="90"/>
      <c r="M2" s="90"/>
      <c r="N2" s="90"/>
      <c r="O2" s="90"/>
      <c r="P2" s="91"/>
      <c r="Q2" s="92" t="s">
        <v>34</v>
      </c>
      <c r="R2" s="98" t="s">
        <v>35</v>
      </c>
    </row>
    <row r="3" spans="1:26" x14ac:dyDescent="0.25">
      <c r="A3" s="44" t="s">
        <v>20</v>
      </c>
      <c r="B3" s="44" t="s">
        <v>21</v>
      </c>
      <c r="C3" s="84"/>
      <c r="D3" s="10">
        <v>46258</v>
      </c>
      <c r="E3" s="10">
        <v>46264</v>
      </c>
      <c r="F3" s="86"/>
      <c r="G3" s="48" t="s">
        <v>4</v>
      </c>
      <c r="H3" s="48" t="s">
        <v>5</v>
      </c>
      <c r="I3" s="48" t="s">
        <v>6</v>
      </c>
      <c r="J3" s="48" t="s">
        <v>7</v>
      </c>
      <c r="K3" s="49" t="s">
        <v>8</v>
      </c>
      <c r="L3" s="5" t="s">
        <v>9</v>
      </c>
      <c r="M3" s="5" t="s">
        <v>27</v>
      </c>
      <c r="N3" s="49" t="s">
        <v>10</v>
      </c>
      <c r="O3" s="49" t="s">
        <v>11</v>
      </c>
      <c r="P3" s="12" t="s">
        <v>40</v>
      </c>
      <c r="Q3" s="93"/>
      <c r="R3" s="98"/>
    </row>
    <row r="4" spans="1:26" x14ac:dyDescent="0.25">
      <c r="A4" s="100" t="s">
        <v>108</v>
      </c>
      <c r="B4" s="6" t="s">
        <v>110</v>
      </c>
      <c r="C4" s="7" t="s">
        <v>111</v>
      </c>
      <c r="D4" s="8">
        <v>1013.6127102621931</v>
      </c>
      <c r="E4" s="8"/>
      <c r="F4" s="11">
        <f>G4+H4-D4-E4</f>
        <v>-1013.6127102621931</v>
      </c>
      <c r="G4" s="8">
        <v>0</v>
      </c>
      <c r="H4" s="8">
        <v>0</v>
      </c>
      <c r="I4" s="8">
        <v>0</v>
      </c>
      <c r="J4" s="8">
        <v>1587.2700000000002</v>
      </c>
      <c r="K4" s="13"/>
      <c r="L4" s="13"/>
      <c r="M4" s="13"/>
      <c r="N4" s="13"/>
      <c r="O4" s="13"/>
      <c r="P4" s="13"/>
      <c r="Q4" s="13">
        <f t="shared" ref="Q4:Q9" si="0">P4+O4+N4+M4+L4+K4</f>
        <v>0</v>
      </c>
      <c r="R4" s="4" t="s">
        <v>134</v>
      </c>
    </row>
    <row r="5" spans="1:26" x14ac:dyDescent="0.25">
      <c r="A5" s="100"/>
      <c r="B5" s="6" t="s">
        <v>112</v>
      </c>
      <c r="C5" s="7" t="s">
        <v>113</v>
      </c>
      <c r="D5" s="8">
        <v>322.26271603737445</v>
      </c>
      <c r="E5" s="8">
        <v>106.7648650127358</v>
      </c>
      <c r="F5" s="8" t="s">
        <v>58</v>
      </c>
      <c r="G5" s="8">
        <v>742.84</v>
      </c>
      <c r="H5" s="8">
        <v>0</v>
      </c>
      <c r="I5" s="8">
        <v>0</v>
      </c>
      <c r="J5" s="8">
        <v>0</v>
      </c>
      <c r="K5" s="13"/>
      <c r="L5" s="13"/>
      <c r="M5" s="13"/>
      <c r="N5" s="13"/>
      <c r="O5" s="13"/>
      <c r="P5" s="13"/>
      <c r="Q5" s="13">
        <f t="shared" si="0"/>
        <v>0</v>
      </c>
      <c r="R5" s="4" t="s">
        <v>59</v>
      </c>
    </row>
    <row r="6" spans="1:26" x14ac:dyDescent="0.25">
      <c r="A6" s="100"/>
      <c r="B6" s="6" t="s">
        <v>114</v>
      </c>
      <c r="C6" s="7" t="s">
        <v>115</v>
      </c>
      <c r="D6" s="8">
        <v>20.004164209681669</v>
      </c>
      <c r="E6" s="8"/>
      <c r="F6" s="11">
        <f t="shared" ref="F6" si="1">G6+H6-D6-E6</f>
        <v>-20.004164209681669</v>
      </c>
      <c r="G6" s="8"/>
      <c r="H6" s="8"/>
      <c r="I6" s="8"/>
      <c r="J6" s="8"/>
      <c r="K6" s="13">
        <v>296.5</v>
      </c>
      <c r="L6" s="13"/>
      <c r="M6" s="13"/>
      <c r="N6" s="13"/>
      <c r="O6" s="13"/>
      <c r="P6" s="13"/>
      <c r="Q6" s="13">
        <f t="shared" si="0"/>
        <v>296.5</v>
      </c>
      <c r="R6" s="4" t="s">
        <v>134</v>
      </c>
    </row>
    <row r="7" spans="1:26" x14ac:dyDescent="0.25">
      <c r="A7" s="100"/>
      <c r="B7" s="6" t="s">
        <v>116</v>
      </c>
      <c r="C7" s="7" t="s">
        <v>117</v>
      </c>
      <c r="D7" s="8">
        <v>316.40394657653331</v>
      </c>
      <c r="E7" s="8">
        <v>20.517091497109369</v>
      </c>
      <c r="F7" s="8" t="s">
        <v>58</v>
      </c>
      <c r="G7" s="8">
        <v>508.36000000000007</v>
      </c>
      <c r="H7" s="8">
        <v>536</v>
      </c>
      <c r="I7" s="8">
        <v>26.22</v>
      </c>
      <c r="J7" s="8">
        <v>0</v>
      </c>
      <c r="K7" s="13"/>
      <c r="L7" s="13"/>
      <c r="M7" s="13"/>
      <c r="N7" s="13"/>
      <c r="O7" s="13"/>
      <c r="P7" s="13"/>
      <c r="Q7" s="13">
        <f t="shared" si="0"/>
        <v>0</v>
      </c>
      <c r="R7" s="4" t="s">
        <v>59</v>
      </c>
    </row>
    <row r="8" spans="1:26" x14ac:dyDescent="0.25">
      <c r="A8" s="100"/>
      <c r="B8" s="6" t="s">
        <v>118</v>
      </c>
      <c r="C8" s="7" t="s">
        <v>119</v>
      </c>
      <c r="D8" s="8">
        <v>1179.4516009410506</v>
      </c>
      <c r="E8" s="8"/>
      <c r="F8" s="8" t="s">
        <v>58</v>
      </c>
      <c r="G8" s="8">
        <v>0</v>
      </c>
      <c r="H8" s="8">
        <v>1596.0200000000002</v>
      </c>
      <c r="I8" s="8">
        <v>0</v>
      </c>
      <c r="J8" s="8">
        <v>0</v>
      </c>
      <c r="K8" s="13"/>
      <c r="L8" s="13"/>
      <c r="M8" s="13"/>
      <c r="N8" s="13"/>
      <c r="O8" s="13"/>
      <c r="P8" s="13"/>
      <c r="Q8" s="13">
        <f t="shared" si="0"/>
        <v>0</v>
      </c>
      <c r="R8" s="4" t="s">
        <v>59</v>
      </c>
    </row>
    <row r="9" spans="1:26" x14ac:dyDescent="0.25">
      <c r="A9" s="101"/>
      <c r="B9" s="6" t="s">
        <v>120</v>
      </c>
      <c r="C9" s="7" t="s">
        <v>121</v>
      </c>
      <c r="D9" s="8">
        <v>165.61852191833287</v>
      </c>
      <c r="E9" s="8"/>
      <c r="F9" s="8" t="s">
        <v>58</v>
      </c>
      <c r="G9" s="8">
        <v>0</v>
      </c>
      <c r="H9" s="8">
        <v>261.34999999999997</v>
      </c>
      <c r="I9" s="8">
        <v>0</v>
      </c>
      <c r="J9" s="8">
        <v>0</v>
      </c>
      <c r="K9" s="13"/>
      <c r="L9" s="13"/>
      <c r="M9" s="13"/>
      <c r="N9" s="13"/>
      <c r="O9" s="13"/>
      <c r="P9" s="13"/>
      <c r="Q9" s="13">
        <f t="shared" si="0"/>
        <v>0</v>
      </c>
      <c r="R9" s="4" t="s">
        <v>59</v>
      </c>
    </row>
    <row r="10" spans="1:26" ht="18.75" x14ac:dyDescent="0.25">
      <c r="A10" s="111" t="s">
        <v>175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</row>
    <row r="11" spans="1:26" x14ac:dyDescent="0.25">
      <c r="A11" s="81" t="s">
        <v>18</v>
      </c>
      <c r="B11" s="82"/>
      <c r="C11" s="83" t="s">
        <v>30</v>
      </c>
      <c r="D11" s="17" t="s">
        <v>19</v>
      </c>
      <c r="E11" s="85" t="s">
        <v>0</v>
      </c>
      <c r="F11" s="87" t="s">
        <v>1</v>
      </c>
      <c r="G11" s="88"/>
      <c r="H11" s="87" t="s">
        <v>2</v>
      </c>
      <c r="I11" s="88"/>
      <c r="J11" s="89" t="s">
        <v>3</v>
      </c>
      <c r="K11" s="90"/>
      <c r="L11" s="90"/>
      <c r="M11" s="90"/>
      <c r="N11" s="90"/>
      <c r="O11" s="91"/>
      <c r="P11" s="92" t="s">
        <v>34</v>
      </c>
      <c r="Q11" s="98" t="s">
        <v>35</v>
      </c>
    </row>
    <row r="12" spans="1:26" x14ac:dyDescent="0.25">
      <c r="A12" s="44" t="s">
        <v>20</v>
      </c>
      <c r="B12" s="44" t="s">
        <v>21</v>
      </c>
      <c r="C12" s="84"/>
      <c r="D12" s="10">
        <v>46258</v>
      </c>
      <c r="E12" s="86"/>
      <c r="F12" s="48" t="s">
        <v>4</v>
      </c>
      <c r="G12" s="48" t="s">
        <v>5</v>
      </c>
      <c r="H12" s="48" t="s">
        <v>6</v>
      </c>
      <c r="I12" s="48" t="s">
        <v>7</v>
      </c>
      <c r="J12" s="49" t="s">
        <v>8</v>
      </c>
      <c r="K12" s="5" t="s">
        <v>9</v>
      </c>
      <c r="L12" s="5" t="s">
        <v>27</v>
      </c>
      <c r="M12" s="49" t="s">
        <v>10</v>
      </c>
      <c r="N12" s="49" t="s">
        <v>11</v>
      </c>
      <c r="O12" s="12" t="s">
        <v>40</v>
      </c>
      <c r="P12" s="93"/>
      <c r="Q12" s="98"/>
    </row>
    <row r="13" spans="1:26" x14ac:dyDescent="0.25">
      <c r="A13" s="100" t="s">
        <v>122</v>
      </c>
      <c r="B13" s="6" t="s">
        <v>125</v>
      </c>
      <c r="C13" s="7" t="s">
        <v>111</v>
      </c>
      <c r="D13" s="8">
        <v>44.707863445596594</v>
      </c>
      <c r="E13" s="11">
        <f>F13+G13-D13</f>
        <v>-44.707863445596594</v>
      </c>
      <c r="F13" s="8">
        <v>0</v>
      </c>
      <c r="G13" s="8">
        <v>0</v>
      </c>
      <c r="H13" s="8">
        <v>50.14</v>
      </c>
      <c r="I13" s="8">
        <v>68.81</v>
      </c>
      <c r="J13" s="13"/>
      <c r="K13" s="13"/>
      <c r="L13" s="13"/>
      <c r="M13" s="13"/>
      <c r="N13" s="13"/>
      <c r="O13" s="13"/>
      <c r="P13" s="13">
        <f t="shared" ref="P13:P14" si="2">O13+N13+M13+L13+K13+J13</f>
        <v>0</v>
      </c>
      <c r="Q13" s="4" t="s">
        <v>134</v>
      </c>
    </row>
    <row r="14" spans="1:26" x14ac:dyDescent="0.25">
      <c r="A14" s="101"/>
      <c r="B14" s="6" t="s">
        <v>127</v>
      </c>
      <c r="C14" s="7" t="s">
        <v>115</v>
      </c>
      <c r="D14" s="8">
        <v>10.564002846737802</v>
      </c>
      <c r="E14" s="11">
        <f>F14+G14-D14</f>
        <v>-10.564002846737802</v>
      </c>
      <c r="F14" s="8"/>
      <c r="G14" s="8"/>
      <c r="H14" s="8"/>
      <c r="I14" s="8"/>
      <c r="J14" s="13">
        <v>122</v>
      </c>
      <c r="K14" s="13"/>
      <c r="L14" s="13"/>
      <c r="M14" s="13"/>
      <c r="N14" s="13"/>
      <c r="O14" s="13"/>
      <c r="P14" s="13">
        <f t="shared" si="2"/>
        <v>122</v>
      </c>
      <c r="Q14" s="4" t="s">
        <v>141</v>
      </c>
    </row>
    <row r="15" spans="1:26" s="14" customFormat="1" ht="21" x14ac:dyDescent="0.25">
      <c r="A15" s="110" t="s">
        <v>176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33"/>
      <c r="S15" s="33"/>
      <c r="T15" s="32"/>
      <c r="U15" s="32"/>
      <c r="V15" s="32"/>
      <c r="W15" s="32"/>
      <c r="X15" s="27"/>
      <c r="Y15" s="27"/>
      <c r="Z15" s="27"/>
    </row>
    <row r="16" spans="1:26" s="14" customFormat="1" ht="30" x14ac:dyDescent="0.25">
      <c r="A16" s="102" t="s">
        <v>18</v>
      </c>
      <c r="B16" s="102"/>
      <c r="C16" s="102" t="s">
        <v>30</v>
      </c>
      <c r="D16" s="103" t="s">
        <v>19</v>
      </c>
      <c r="E16" s="104"/>
      <c r="F16" s="104"/>
      <c r="G16" s="105"/>
      <c r="H16" s="18" t="s">
        <v>0</v>
      </c>
      <c r="I16" s="19" t="s">
        <v>1</v>
      </c>
      <c r="J16" s="20"/>
      <c r="K16" s="19" t="s">
        <v>2</v>
      </c>
      <c r="L16" s="20"/>
      <c r="M16" s="89" t="s">
        <v>3</v>
      </c>
      <c r="N16" s="90"/>
      <c r="O16" s="90"/>
      <c r="P16" s="90"/>
      <c r="Q16" s="90"/>
      <c r="R16" s="91"/>
      <c r="S16" s="21" t="s">
        <v>34</v>
      </c>
      <c r="T16" s="18" t="s">
        <v>35</v>
      </c>
      <c r="V16" s="14" t="s">
        <v>177</v>
      </c>
    </row>
    <row r="17" spans="1:26" s="14" customFormat="1" x14ac:dyDescent="0.25">
      <c r="A17" s="44" t="s">
        <v>20</v>
      </c>
      <c r="B17" s="44" t="s">
        <v>21</v>
      </c>
      <c r="C17" s="102"/>
      <c r="D17" s="10">
        <v>46262</v>
      </c>
      <c r="E17" s="10">
        <v>46263</v>
      </c>
      <c r="F17" s="10">
        <v>46275</v>
      </c>
      <c r="G17" s="10">
        <v>46285</v>
      </c>
      <c r="H17" s="22"/>
      <c r="I17" s="48" t="s">
        <v>4</v>
      </c>
      <c r="J17" s="48" t="s">
        <v>5</v>
      </c>
      <c r="K17" s="48" t="s">
        <v>6</v>
      </c>
      <c r="L17" s="48" t="s">
        <v>7</v>
      </c>
      <c r="M17" s="49" t="s">
        <v>8</v>
      </c>
      <c r="N17" s="5" t="s">
        <v>9</v>
      </c>
      <c r="O17" s="5" t="s">
        <v>27</v>
      </c>
      <c r="P17" s="49" t="s">
        <v>10</v>
      </c>
      <c r="Q17" s="49" t="s">
        <v>11</v>
      </c>
      <c r="R17" s="12" t="s">
        <v>40</v>
      </c>
      <c r="S17" s="23"/>
      <c r="T17" s="22"/>
    </row>
    <row r="18" spans="1:26" s="14" customFormat="1" x14ac:dyDescent="0.25">
      <c r="A18" s="106" t="s">
        <v>12</v>
      </c>
      <c r="B18" s="6" t="s">
        <v>71</v>
      </c>
      <c r="C18" s="7" t="s">
        <v>72</v>
      </c>
      <c r="D18" s="8">
        <v>3619.3538664587618</v>
      </c>
      <c r="E18" s="8"/>
      <c r="F18" s="8">
        <v>117.87543463555984</v>
      </c>
      <c r="G18" s="8"/>
      <c r="H18" s="8" t="s">
        <v>58</v>
      </c>
      <c r="I18" s="8">
        <v>10632.292000000007</v>
      </c>
      <c r="J18" s="8">
        <v>0</v>
      </c>
      <c r="K18" s="8">
        <v>147.86000000000001</v>
      </c>
      <c r="L18" s="8">
        <v>0</v>
      </c>
      <c r="M18" s="8"/>
      <c r="N18" s="8"/>
      <c r="O18" s="8"/>
      <c r="P18" s="8"/>
      <c r="Q18" s="8"/>
      <c r="R18" s="8"/>
      <c r="S18" s="13">
        <f>R18+Q18+P18+O18+N18+M18</f>
        <v>0</v>
      </c>
      <c r="T18" s="4" t="s">
        <v>59</v>
      </c>
    </row>
    <row r="19" spans="1:26" s="14" customFormat="1" x14ac:dyDescent="0.25">
      <c r="A19" s="106"/>
      <c r="B19" s="6" t="s">
        <v>55</v>
      </c>
      <c r="C19" s="7" t="s">
        <v>56</v>
      </c>
      <c r="D19" s="8">
        <v>827.98375204458478</v>
      </c>
      <c r="E19" s="8">
        <v>74.833353862330014</v>
      </c>
      <c r="F19" s="8">
        <v>1086.9570453108217</v>
      </c>
      <c r="G19" s="8">
        <v>87.56362555385283</v>
      </c>
      <c r="H19" s="8" t="s">
        <v>58</v>
      </c>
      <c r="I19" s="8">
        <v>3875.8320000000003</v>
      </c>
      <c r="J19" s="8">
        <v>0</v>
      </c>
      <c r="K19" s="8">
        <v>748.04000000000008</v>
      </c>
      <c r="L19" s="8">
        <v>19.704999999999998</v>
      </c>
      <c r="M19" s="8"/>
      <c r="N19" s="8"/>
      <c r="O19" s="8"/>
      <c r="P19" s="8"/>
      <c r="Q19" s="8"/>
      <c r="R19" s="8"/>
      <c r="S19" s="13">
        <f>R19+Q19+P19+O19+N19+M19</f>
        <v>0</v>
      </c>
      <c r="T19" s="4" t="s">
        <v>59</v>
      </c>
      <c r="U19" s="14" t="s">
        <v>96</v>
      </c>
    </row>
    <row r="20" spans="1:26" s="14" customFormat="1" x14ac:dyDescent="0.25">
      <c r="A20" s="106"/>
      <c r="B20" s="6" t="s">
        <v>57</v>
      </c>
      <c r="C20" s="7" t="s">
        <v>33</v>
      </c>
      <c r="D20" s="8">
        <v>1311.9061070209855</v>
      </c>
      <c r="E20" s="8">
        <v>187.34143070362617</v>
      </c>
      <c r="F20" s="8">
        <v>1819.1953917792721</v>
      </c>
      <c r="G20" s="8">
        <v>217.27477224855821</v>
      </c>
      <c r="H20" s="11">
        <f>I20+J20-G20-F20-E20-D20</f>
        <v>-582.35770175244284</v>
      </c>
      <c r="I20" s="8">
        <v>2428.1999999999994</v>
      </c>
      <c r="J20" s="8">
        <v>525.16</v>
      </c>
      <c r="K20" s="8">
        <v>248.85000000000002</v>
      </c>
      <c r="L20" s="8">
        <v>0</v>
      </c>
      <c r="M20" s="8"/>
      <c r="N20" s="8"/>
      <c r="O20" s="8"/>
      <c r="P20" s="8">
        <v>851.6</v>
      </c>
      <c r="Q20" s="8">
        <v>619</v>
      </c>
      <c r="R20" s="8"/>
      <c r="S20" s="13">
        <f t="shared" ref="S20" si="3">R20+Q20+P20+O20+N20+M20</f>
        <v>1470.6</v>
      </c>
      <c r="T20" s="4" t="s">
        <v>178</v>
      </c>
    </row>
    <row r="21" spans="1:26" s="14" customFormat="1" x14ac:dyDescent="0.25">
      <c r="A21" s="106"/>
      <c r="B21" s="6" t="s">
        <v>162</v>
      </c>
      <c r="C21" s="7" t="s">
        <v>163</v>
      </c>
      <c r="D21" s="8"/>
      <c r="E21" s="8">
        <v>41.803459743784359</v>
      </c>
      <c r="F21" s="8"/>
      <c r="G21" s="8"/>
      <c r="H21" s="8" t="s">
        <v>58</v>
      </c>
      <c r="I21" s="8">
        <v>1849.2019999999995</v>
      </c>
      <c r="J21" s="8">
        <v>0</v>
      </c>
      <c r="K21" s="8">
        <v>42.98</v>
      </c>
      <c r="L21" s="8">
        <v>84.760000000000019</v>
      </c>
      <c r="M21" s="8"/>
      <c r="N21" s="8"/>
      <c r="O21" s="8"/>
      <c r="P21" s="8"/>
      <c r="Q21" s="8"/>
      <c r="R21" s="8"/>
      <c r="S21" s="13"/>
      <c r="T21" s="4" t="s">
        <v>59</v>
      </c>
    </row>
    <row r="22" spans="1:26" s="14" customFormat="1" x14ac:dyDescent="0.25">
      <c r="A22" s="106"/>
      <c r="B22" s="6" t="s">
        <v>164</v>
      </c>
      <c r="C22" s="7" t="s">
        <v>165</v>
      </c>
      <c r="D22" s="8"/>
      <c r="E22" s="8">
        <v>45.760165810068472</v>
      </c>
      <c r="F22" s="8"/>
      <c r="G22" s="8"/>
      <c r="H22" s="8" t="s">
        <v>58</v>
      </c>
      <c r="I22" s="8">
        <v>2452.8590000000008</v>
      </c>
      <c r="J22" s="8">
        <v>0</v>
      </c>
      <c r="K22" s="8">
        <v>0</v>
      </c>
      <c r="L22" s="8">
        <v>420.37000000000012</v>
      </c>
      <c r="M22" s="8"/>
      <c r="N22" s="8"/>
      <c r="O22" s="8"/>
      <c r="P22" s="8"/>
      <c r="Q22" s="8"/>
      <c r="R22" s="8"/>
      <c r="S22" s="13"/>
      <c r="T22" s="4" t="s">
        <v>59</v>
      </c>
    </row>
    <row r="23" spans="1:26" s="14" customFormat="1" x14ac:dyDescent="0.25">
      <c r="A23" s="106"/>
      <c r="B23" s="6" t="s">
        <v>166</v>
      </c>
      <c r="C23" s="7" t="s">
        <v>167</v>
      </c>
      <c r="D23" s="8"/>
      <c r="E23" s="8">
        <v>58.662468200125375</v>
      </c>
      <c r="F23" s="8"/>
      <c r="G23" s="8"/>
      <c r="H23" s="8" t="s">
        <v>58</v>
      </c>
      <c r="I23" s="8">
        <v>7436.880000000001</v>
      </c>
      <c r="J23" s="8">
        <v>0</v>
      </c>
      <c r="K23" s="8">
        <v>293.10000000000002</v>
      </c>
      <c r="L23" s="8">
        <v>0</v>
      </c>
      <c r="M23" s="8"/>
      <c r="N23" s="8"/>
      <c r="O23" s="8"/>
      <c r="P23" s="8"/>
      <c r="Q23" s="8"/>
      <c r="R23" s="8"/>
      <c r="S23" s="13">
        <f t="shared" ref="S23:S24" si="4">R23+Q23+P23+O23+N23+M23</f>
        <v>0</v>
      </c>
      <c r="T23" s="4" t="s">
        <v>59</v>
      </c>
    </row>
    <row r="24" spans="1:26" s="14" customFormat="1" x14ac:dyDescent="0.25">
      <c r="A24" s="106"/>
      <c r="B24" s="6" t="s">
        <v>60</v>
      </c>
      <c r="C24" s="7" t="s">
        <v>61</v>
      </c>
      <c r="D24" s="8"/>
      <c r="E24" s="8">
        <v>557.55149394899217</v>
      </c>
      <c r="F24" s="8"/>
      <c r="G24" s="8"/>
      <c r="H24" s="11">
        <f t="shared" ref="H24" si="5">I24+J24-G24-F24-E24-D24</f>
        <v>-536.2714939489922</v>
      </c>
      <c r="I24" s="8">
        <v>21.28</v>
      </c>
      <c r="J24" s="8">
        <v>0</v>
      </c>
      <c r="K24" s="8">
        <v>284.73</v>
      </c>
      <c r="L24" s="8">
        <v>449.29999999999995</v>
      </c>
      <c r="M24" s="8"/>
      <c r="N24" s="8"/>
      <c r="O24" s="8"/>
      <c r="P24" s="8"/>
      <c r="Q24" s="8">
        <v>476.5</v>
      </c>
      <c r="R24" s="8"/>
      <c r="S24" s="13">
        <f t="shared" si="4"/>
        <v>476.5</v>
      </c>
      <c r="T24" s="4" t="s">
        <v>152</v>
      </c>
    </row>
    <row r="25" spans="1:26" s="14" customFormat="1" ht="21" x14ac:dyDescent="0.25">
      <c r="A25" s="108" t="s">
        <v>179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32"/>
      <c r="V25" s="32"/>
      <c r="W25" s="32"/>
      <c r="X25" s="27"/>
      <c r="Y25" s="27"/>
      <c r="Z25" s="27"/>
    </row>
    <row r="26" spans="1:26" x14ac:dyDescent="0.25">
      <c r="A26" s="102" t="s">
        <v>18</v>
      </c>
      <c r="B26" s="102"/>
      <c r="C26" s="102" t="s">
        <v>30</v>
      </c>
      <c r="D26" s="54" t="s">
        <v>19</v>
      </c>
      <c r="E26" s="85" t="s">
        <v>0</v>
      </c>
      <c r="F26" s="87" t="s">
        <v>1</v>
      </c>
      <c r="G26" s="88"/>
      <c r="H26" s="87" t="s">
        <v>2</v>
      </c>
      <c r="I26" s="88"/>
      <c r="J26" s="89" t="s">
        <v>3</v>
      </c>
      <c r="K26" s="90"/>
      <c r="L26" s="90"/>
      <c r="M26" s="90"/>
      <c r="N26" s="90"/>
      <c r="O26" s="91"/>
      <c r="P26" s="92" t="s">
        <v>34</v>
      </c>
      <c r="Q26" s="98" t="s">
        <v>35</v>
      </c>
      <c r="R26" s="25"/>
    </row>
    <row r="27" spans="1:26" x14ac:dyDescent="0.25">
      <c r="A27" s="44" t="s">
        <v>20</v>
      </c>
      <c r="B27" s="44" t="s">
        <v>21</v>
      </c>
      <c r="C27" s="102"/>
      <c r="D27" s="10">
        <v>46263</v>
      </c>
      <c r="E27" s="86"/>
      <c r="F27" s="48" t="s">
        <v>4</v>
      </c>
      <c r="G27" s="48" t="s">
        <v>5</v>
      </c>
      <c r="H27" s="48" t="s">
        <v>6</v>
      </c>
      <c r="I27" s="48" t="s">
        <v>7</v>
      </c>
      <c r="J27" s="49" t="s">
        <v>8</v>
      </c>
      <c r="K27" s="5" t="s">
        <v>9</v>
      </c>
      <c r="L27" s="5" t="s">
        <v>27</v>
      </c>
      <c r="M27" s="49" t="s">
        <v>10</v>
      </c>
      <c r="N27" s="49" t="s">
        <v>11</v>
      </c>
      <c r="O27" s="12" t="s">
        <v>95</v>
      </c>
      <c r="P27" s="93"/>
      <c r="Q27" s="98"/>
      <c r="R27" s="25"/>
    </row>
    <row r="28" spans="1:26" x14ac:dyDescent="0.25">
      <c r="A28" s="106" t="s">
        <v>25</v>
      </c>
      <c r="B28" s="6" t="s">
        <v>159</v>
      </c>
      <c r="C28" s="7" t="s">
        <v>33</v>
      </c>
      <c r="D28" s="8">
        <v>7640.982670402298</v>
      </c>
      <c r="E28" s="8" t="s">
        <v>58</v>
      </c>
      <c r="F28" s="8">
        <v>14836.336000000008</v>
      </c>
      <c r="G28" s="8">
        <v>7589.7200000000048</v>
      </c>
      <c r="H28" s="8">
        <v>255.88999999999996</v>
      </c>
      <c r="I28" s="8">
        <v>3275.1799999999994</v>
      </c>
      <c r="J28" s="13">
        <v>3436.8360000000002</v>
      </c>
      <c r="K28" s="13">
        <v>11781</v>
      </c>
      <c r="L28" s="13"/>
      <c r="M28" s="13">
        <v>3288.5</v>
      </c>
      <c r="N28" s="13"/>
      <c r="O28" s="13">
        <v>1647</v>
      </c>
      <c r="P28" s="13">
        <f t="shared" ref="P28:P29" si="6">O28+N28+M28+L28+K28+J28</f>
        <v>20153.335999999999</v>
      </c>
      <c r="Q28" s="4" t="s">
        <v>59</v>
      </c>
      <c r="R28" s="25"/>
    </row>
    <row r="29" spans="1:26" x14ac:dyDescent="0.25">
      <c r="A29" s="107"/>
      <c r="B29" s="6" t="s">
        <v>100</v>
      </c>
      <c r="C29" s="7" t="s">
        <v>101</v>
      </c>
      <c r="D29" s="8">
        <v>4906.4168364979823</v>
      </c>
      <c r="E29" s="8" t="s">
        <v>58</v>
      </c>
      <c r="F29" s="8">
        <v>10219.680000000002</v>
      </c>
      <c r="G29" s="8">
        <v>0</v>
      </c>
      <c r="H29" s="8">
        <v>2026.9699999999996</v>
      </c>
      <c r="I29" s="8">
        <v>0</v>
      </c>
      <c r="J29" s="13">
        <v>1834</v>
      </c>
      <c r="K29" s="13">
        <v>5338.5</v>
      </c>
      <c r="L29" s="13"/>
      <c r="M29" s="13"/>
      <c r="N29" s="13"/>
      <c r="O29" s="13"/>
      <c r="P29" s="13">
        <f t="shared" si="6"/>
        <v>7172.5</v>
      </c>
      <c r="Q29" s="4" t="s">
        <v>59</v>
      </c>
      <c r="R29" s="25"/>
    </row>
    <row r="30" spans="1:26" x14ac:dyDescent="0.25">
      <c r="A30" s="107"/>
      <c r="B30" s="6" t="s">
        <v>102</v>
      </c>
      <c r="C30" s="7" t="s">
        <v>103</v>
      </c>
      <c r="D30" s="8">
        <v>2800.4061027784155</v>
      </c>
      <c r="E30" s="8" t="s">
        <v>58</v>
      </c>
      <c r="F30" s="8">
        <v>13063.190000000015</v>
      </c>
      <c r="G30" s="8">
        <v>1129.3699999999994</v>
      </c>
      <c r="H30" s="8">
        <v>0</v>
      </c>
      <c r="I30" s="8">
        <v>0</v>
      </c>
      <c r="J30" s="13"/>
      <c r="K30" s="13">
        <v>1213.5</v>
      </c>
      <c r="L30" s="13"/>
      <c r="M30" s="13">
        <v>3614.5</v>
      </c>
      <c r="N30" s="13"/>
      <c r="O30" s="13"/>
      <c r="P30" s="13">
        <f>O30+N30+M30+L30+K30+J30</f>
        <v>4828</v>
      </c>
      <c r="Q30" s="4" t="s">
        <v>59</v>
      </c>
      <c r="R30" s="25"/>
    </row>
    <row r="31" spans="1:26" x14ac:dyDescent="0.25">
      <c r="A31" s="107"/>
      <c r="B31" s="6" t="s">
        <v>104</v>
      </c>
      <c r="C31" s="7" t="s">
        <v>105</v>
      </c>
      <c r="D31" s="8">
        <v>3341.1741777976958</v>
      </c>
      <c r="E31" s="11">
        <f t="shared" ref="E31:E33" si="7">F31+G31-D31</f>
        <v>-2788.9041777976959</v>
      </c>
      <c r="F31" s="8">
        <v>552.27</v>
      </c>
      <c r="G31" s="8">
        <v>0</v>
      </c>
      <c r="H31" s="8">
        <v>0</v>
      </c>
      <c r="I31" s="8">
        <v>0</v>
      </c>
      <c r="J31" s="13"/>
      <c r="K31" s="13"/>
      <c r="L31" s="13"/>
      <c r="M31" s="13"/>
      <c r="N31" s="13">
        <v>3314.5</v>
      </c>
      <c r="O31" s="13"/>
      <c r="P31" s="13">
        <f t="shared" ref="P31:P33" si="8">O31+N31+M31+L31+K31+J31</f>
        <v>3314.5</v>
      </c>
      <c r="Q31" s="4" t="s">
        <v>180</v>
      </c>
      <c r="R31" s="25"/>
    </row>
    <row r="32" spans="1:26" x14ac:dyDescent="0.25">
      <c r="A32" s="107"/>
      <c r="B32" s="6" t="s">
        <v>69</v>
      </c>
      <c r="C32" s="7" t="s">
        <v>70</v>
      </c>
      <c r="D32" s="8">
        <v>3341.1741777976958</v>
      </c>
      <c r="E32" s="11">
        <f t="shared" si="7"/>
        <v>-2779.494177797696</v>
      </c>
      <c r="F32" s="8">
        <v>561.67999999999995</v>
      </c>
      <c r="G32" s="8">
        <v>0</v>
      </c>
      <c r="H32" s="8">
        <v>0</v>
      </c>
      <c r="I32" s="8">
        <v>0</v>
      </c>
      <c r="J32" s="13"/>
      <c r="K32" s="13"/>
      <c r="L32" s="13"/>
      <c r="M32" s="13">
        <v>1502.5</v>
      </c>
      <c r="N32" s="13">
        <v>3012.5</v>
      </c>
      <c r="O32" s="13"/>
      <c r="P32" s="13">
        <f t="shared" si="8"/>
        <v>4515</v>
      </c>
      <c r="Q32" s="4" t="s">
        <v>180</v>
      </c>
      <c r="R32" s="25"/>
    </row>
    <row r="33" spans="1:26" x14ac:dyDescent="0.25">
      <c r="A33" s="107"/>
      <c r="B33" s="6" t="s">
        <v>145</v>
      </c>
      <c r="C33" s="7" t="s">
        <v>146</v>
      </c>
      <c r="D33" s="8">
        <v>2833.7651723412932</v>
      </c>
      <c r="E33" s="11">
        <f t="shared" si="7"/>
        <v>-2063.2551723412935</v>
      </c>
      <c r="F33" s="8">
        <v>770.51</v>
      </c>
      <c r="G33" s="8">
        <v>0</v>
      </c>
      <c r="H33" s="8">
        <v>0</v>
      </c>
      <c r="I33" s="8">
        <v>0</v>
      </c>
      <c r="J33" s="13"/>
      <c r="K33" s="13"/>
      <c r="L33" s="13"/>
      <c r="M33" s="13">
        <v>1503</v>
      </c>
      <c r="N33" s="13">
        <v>1481.5</v>
      </c>
      <c r="O33" s="13"/>
      <c r="P33" s="13">
        <f t="shared" si="8"/>
        <v>2984.5</v>
      </c>
      <c r="Q33" s="4" t="s">
        <v>180</v>
      </c>
      <c r="R33" s="25"/>
    </row>
    <row r="34" spans="1:26" s="14" customFormat="1" ht="21" x14ac:dyDescent="0.25">
      <c r="A34" s="50"/>
      <c r="B34" s="50"/>
      <c r="C34" s="47"/>
      <c r="D34" s="50"/>
      <c r="E34" s="50"/>
      <c r="F34" s="50"/>
      <c r="G34" s="50"/>
      <c r="H34" s="47"/>
      <c r="I34" s="50"/>
      <c r="J34" s="50"/>
      <c r="K34" s="50"/>
      <c r="L34" s="50"/>
      <c r="M34" s="50"/>
      <c r="N34" s="50"/>
      <c r="O34" s="50"/>
      <c r="P34" s="50"/>
      <c r="Q34" s="50"/>
      <c r="R34" s="46"/>
      <c r="S34" s="32"/>
      <c r="T34" s="32"/>
      <c r="U34" s="32"/>
      <c r="V34" s="32"/>
      <c r="W34" s="32"/>
      <c r="X34" s="27"/>
      <c r="Y34" s="27"/>
      <c r="Z34" s="27"/>
    </row>
    <row r="35" spans="1:26" s="14" customFormat="1" x14ac:dyDescent="0.25">
      <c r="A35" s="81" t="s">
        <v>18</v>
      </c>
      <c r="B35" s="82"/>
      <c r="C35" s="83" t="s">
        <v>30</v>
      </c>
      <c r="D35" s="113" t="s">
        <v>19</v>
      </c>
      <c r="E35" s="113"/>
      <c r="F35" s="113"/>
      <c r="G35" s="113"/>
      <c r="H35" s="85" t="s">
        <v>0</v>
      </c>
      <c r="I35" s="87" t="s">
        <v>1</v>
      </c>
      <c r="J35" s="88"/>
      <c r="K35" s="87" t="s">
        <v>2</v>
      </c>
      <c r="L35" s="88"/>
      <c r="M35" s="89" t="s">
        <v>3</v>
      </c>
      <c r="N35" s="90"/>
      <c r="O35" s="90"/>
      <c r="P35" s="90"/>
      <c r="Q35" s="90"/>
      <c r="R35" s="91"/>
      <c r="S35" s="92" t="s">
        <v>34</v>
      </c>
      <c r="T35" s="98" t="s">
        <v>35</v>
      </c>
      <c r="U35" s="26"/>
      <c r="V35" s="26"/>
    </row>
    <row r="36" spans="1:26" s="14" customFormat="1" x14ac:dyDescent="0.25">
      <c r="A36" s="44" t="s">
        <v>20</v>
      </c>
      <c r="B36" s="44" t="s">
        <v>21</v>
      </c>
      <c r="C36" s="84"/>
      <c r="D36" s="10">
        <v>46260</v>
      </c>
      <c r="E36" s="10">
        <v>46261</v>
      </c>
      <c r="F36" s="10">
        <v>46263</v>
      </c>
      <c r="G36" s="10">
        <v>46269</v>
      </c>
      <c r="H36" s="86"/>
      <c r="I36" s="48" t="s">
        <v>4</v>
      </c>
      <c r="J36" s="48" t="s">
        <v>5</v>
      </c>
      <c r="K36" s="48" t="s">
        <v>6</v>
      </c>
      <c r="L36" s="48" t="s">
        <v>7</v>
      </c>
      <c r="M36" s="49" t="s">
        <v>8</v>
      </c>
      <c r="N36" s="5" t="s">
        <v>9</v>
      </c>
      <c r="O36" s="5" t="s">
        <v>27</v>
      </c>
      <c r="P36" s="49" t="s">
        <v>10</v>
      </c>
      <c r="Q36" s="49" t="s">
        <v>11</v>
      </c>
      <c r="R36" s="12" t="s">
        <v>95</v>
      </c>
      <c r="S36" s="93"/>
      <c r="T36" s="98"/>
      <c r="U36" s="26"/>
      <c r="V36" s="26"/>
    </row>
    <row r="37" spans="1:26" s="14" customFormat="1" x14ac:dyDescent="0.25">
      <c r="A37" s="99" t="s">
        <v>62</v>
      </c>
      <c r="B37" s="6" t="s">
        <v>63</v>
      </c>
      <c r="C37" s="7" t="s">
        <v>64</v>
      </c>
      <c r="D37" s="8"/>
      <c r="E37" s="8"/>
      <c r="F37" s="8">
        <v>333.5224169082735</v>
      </c>
      <c r="G37" s="8"/>
      <c r="H37" s="8" t="s">
        <v>58</v>
      </c>
      <c r="I37" s="8">
        <v>449.16999999999996</v>
      </c>
      <c r="J37" s="8">
        <v>0</v>
      </c>
      <c r="K37" s="8">
        <v>0</v>
      </c>
      <c r="L37" s="8">
        <v>0</v>
      </c>
      <c r="M37" s="13"/>
      <c r="N37" s="13"/>
      <c r="O37" s="13"/>
      <c r="P37" s="13"/>
      <c r="Q37" s="13"/>
      <c r="R37" s="13"/>
      <c r="S37" s="13">
        <f t="shared" ref="S37:S52" si="9">R37+Q37+P37+O37+N37+M37</f>
        <v>0</v>
      </c>
      <c r="T37" s="4" t="s">
        <v>59</v>
      </c>
      <c r="U37" s="26"/>
      <c r="V37" s="26"/>
    </row>
    <row r="38" spans="1:26" s="14" customFormat="1" x14ac:dyDescent="0.25">
      <c r="A38" s="100"/>
      <c r="B38" s="6" t="s">
        <v>65</v>
      </c>
      <c r="C38" s="7" t="s">
        <v>66</v>
      </c>
      <c r="D38" s="8"/>
      <c r="E38" s="8">
        <v>3978.0708072968255</v>
      </c>
      <c r="F38" s="8">
        <v>405.74183789234837</v>
      </c>
      <c r="G38" s="8"/>
      <c r="H38" s="8" t="s">
        <v>58</v>
      </c>
      <c r="I38" s="8">
        <v>10418.746000000014</v>
      </c>
      <c r="J38" s="8">
        <v>5498.7699999999904</v>
      </c>
      <c r="K38" s="8">
        <v>397.68</v>
      </c>
      <c r="L38" s="8">
        <v>3604.1600000000003</v>
      </c>
      <c r="M38" s="13">
        <v>1357</v>
      </c>
      <c r="N38" s="13"/>
      <c r="O38" s="13"/>
      <c r="P38" s="13"/>
      <c r="Q38" s="13"/>
      <c r="R38" s="13">
        <v>1369</v>
      </c>
      <c r="S38" s="13">
        <f t="shared" si="9"/>
        <v>2726</v>
      </c>
      <c r="T38" s="4" t="s">
        <v>59</v>
      </c>
      <c r="U38" s="26"/>
      <c r="V38" s="26"/>
    </row>
    <row r="39" spans="1:26" s="14" customFormat="1" x14ac:dyDescent="0.25">
      <c r="A39" s="100"/>
      <c r="B39" s="6" t="s">
        <v>67</v>
      </c>
      <c r="C39" s="7" t="s">
        <v>68</v>
      </c>
      <c r="D39" s="8"/>
      <c r="E39" s="8">
        <v>869.70003241432687</v>
      </c>
      <c r="F39" s="8">
        <v>743.39107885685485</v>
      </c>
      <c r="G39" s="8">
        <v>2903.9710552064012</v>
      </c>
      <c r="H39" s="8" t="s">
        <v>58</v>
      </c>
      <c r="I39" s="8">
        <v>10220.800000000003</v>
      </c>
      <c r="J39" s="8">
        <v>4784.9899999999961</v>
      </c>
      <c r="K39" s="8">
        <v>0</v>
      </c>
      <c r="L39" s="8">
        <v>18.239999999999998</v>
      </c>
      <c r="M39" s="13"/>
      <c r="N39" s="13"/>
      <c r="O39" s="13"/>
      <c r="P39" s="13">
        <v>11883.5</v>
      </c>
      <c r="Q39" s="13">
        <v>6056.5</v>
      </c>
      <c r="R39" s="13"/>
      <c r="S39" s="13">
        <f>R39+Q39+P39+O39+N39+M39</f>
        <v>17940</v>
      </c>
      <c r="T39" s="4" t="s">
        <v>59</v>
      </c>
      <c r="U39" s="26"/>
      <c r="V39" s="26"/>
    </row>
    <row r="40" spans="1:26" s="14" customFormat="1" x14ac:dyDescent="0.25">
      <c r="A40" s="100"/>
      <c r="B40" s="6" t="s">
        <v>41</v>
      </c>
      <c r="C40" s="7" t="s">
        <v>42</v>
      </c>
      <c r="D40" s="8"/>
      <c r="E40" s="8"/>
      <c r="F40" s="8"/>
      <c r="G40" s="8">
        <v>2960.4335116121329</v>
      </c>
      <c r="H40" s="8" t="s">
        <v>58</v>
      </c>
      <c r="I40" s="8">
        <v>4458.5499999999993</v>
      </c>
      <c r="J40" s="8">
        <v>0</v>
      </c>
      <c r="K40" s="8">
        <v>0</v>
      </c>
      <c r="L40" s="8">
        <v>0</v>
      </c>
      <c r="M40" s="13">
        <v>1346</v>
      </c>
      <c r="N40" s="13">
        <v>3546.85</v>
      </c>
      <c r="O40" s="13"/>
      <c r="P40" s="13"/>
      <c r="Q40" s="13"/>
      <c r="R40" s="13"/>
      <c r="S40" s="13">
        <f t="shared" si="9"/>
        <v>4892.8500000000004</v>
      </c>
      <c r="T40" s="4" t="s">
        <v>59</v>
      </c>
      <c r="U40" s="26"/>
      <c r="V40" s="26"/>
    </row>
    <row r="41" spans="1:26" s="14" customFormat="1" x14ac:dyDescent="0.25">
      <c r="A41" s="100"/>
      <c r="B41" s="6" t="s">
        <v>51</v>
      </c>
      <c r="C41" s="7" t="s">
        <v>52</v>
      </c>
      <c r="D41" s="8"/>
      <c r="E41" s="8">
        <v>3751.6582329389594</v>
      </c>
      <c r="F41" s="8">
        <v>1672.1140744208942</v>
      </c>
      <c r="G41" s="8"/>
      <c r="H41" s="8" t="s">
        <v>58</v>
      </c>
      <c r="I41" s="8">
        <v>6032.15</v>
      </c>
      <c r="J41" s="8">
        <v>6378.1099999999988</v>
      </c>
      <c r="K41" s="8">
        <v>1658.3199999999995</v>
      </c>
      <c r="L41" s="8">
        <v>3183.9699999999962</v>
      </c>
      <c r="M41" s="13">
        <v>1494</v>
      </c>
      <c r="N41" s="13">
        <v>4500</v>
      </c>
      <c r="O41" s="13">
        <v>870.08600000000001</v>
      </c>
      <c r="P41" s="13">
        <v>12289.358</v>
      </c>
      <c r="Q41" s="13">
        <v>4470</v>
      </c>
      <c r="R41" s="13"/>
      <c r="S41" s="13">
        <f t="shared" si="9"/>
        <v>23623.444</v>
      </c>
      <c r="T41" s="4" t="s">
        <v>59</v>
      </c>
      <c r="U41" s="26"/>
      <c r="V41" s="26"/>
    </row>
    <row r="42" spans="1:26" s="14" customFormat="1" x14ac:dyDescent="0.25">
      <c r="A42" s="100"/>
      <c r="B42" s="6" t="s">
        <v>29</v>
      </c>
      <c r="C42" s="7" t="s">
        <v>31</v>
      </c>
      <c r="D42" s="8"/>
      <c r="E42" s="8"/>
      <c r="F42" s="8">
        <v>211.59352433775729</v>
      </c>
      <c r="G42" s="8"/>
      <c r="H42" s="8" t="s">
        <v>58</v>
      </c>
      <c r="I42" s="8">
        <v>3546.9199999999983</v>
      </c>
      <c r="J42" s="8">
        <v>0</v>
      </c>
      <c r="K42" s="8">
        <v>0</v>
      </c>
      <c r="L42" s="8">
        <v>266.85999999999996</v>
      </c>
      <c r="M42" s="13"/>
      <c r="N42" s="13"/>
      <c r="O42" s="13"/>
      <c r="P42" s="13"/>
      <c r="Q42" s="13"/>
      <c r="R42" s="13"/>
      <c r="S42" s="13">
        <f t="shared" si="9"/>
        <v>0</v>
      </c>
      <c r="T42" s="4" t="s">
        <v>59</v>
      </c>
      <c r="U42" s="26"/>
      <c r="V42" s="26"/>
    </row>
    <row r="43" spans="1:26" s="14" customFormat="1" x14ac:dyDescent="0.25">
      <c r="A43" s="100"/>
      <c r="B43" s="6" t="s">
        <v>136</v>
      </c>
      <c r="C43" s="7" t="s">
        <v>137</v>
      </c>
      <c r="D43" s="8"/>
      <c r="E43" s="8"/>
      <c r="F43" s="8">
        <v>49.334305763147313</v>
      </c>
      <c r="G43" s="8"/>
      <c r="H43" s="8" t="s">
        <v>58</v>
      </c>
      <c r="I43" s="8">
        <v>509.69799999999992</v>
      </c>
      <c r="J43" s="8">
        <v>0</v>
      </c>
      <c r="K43" s="8">
        <v>0</v>
      </c>
      <c r="L43" s="8">
        <v>0</v>
      </c>
      <c r="M43" s="13"/>
      <c r="N43" s="13"/>
      <c r="O43" s="13"/>
      <c r="P43" s="13"/>
      <c r="Q43" s="13"/>
      <c r="R43" s="13"/>
      <c r="S43" s="13">
        <f t="shared" si="9"/>
        <v>0</v>
      </c>
      <c r="T43" s="4" t="s">
        <v>59</v>
      </c>
      <c r="U43" s="26"/>
      <c r="V43" s="26"/>
    </row>
    <row r="44" spans="1:26" s="14" customFormat="1" x14ac:dyDescent="0.25">
      <c r="A44" s="100"/>
      <c r="B44" s="6" t="s">
        <v>43</v>
      </c>
      <c r="C44" s="7" t="s">
        <v>44</v>
      </c>
      <c r="D44" s="8"/>
      <c r="E44" s="8">
        <v>281.37436747042193</v>
      </c>
      <c r="F44" s="8"/>
      <c r="G44" s="8">
        <v>2960.4335116121329</v>
      </c>
      <c r="H44" s="8" t="s">
        <v>58</v>
      </c>
      <c r="I44" s="8">
        <v>8358.9099999999889</v>
      </c>
      <c r="J44" s="8">
        <v>171.48</v>
      </c>
      <c r="K44" s="8">
        <v>7.54</v>
      </c>
      <c r="L44" s="8">
        <v>0</v>
      </c>
      <c r="M44" s="13"/>
      <c r="N44" s="13"/>
      <c r="O44" s="13"/>
      <c r="P44" s="13"/>
      <c r="Q44" s="13"/>
      <c r="R44" s="13"/>
      <c r="S44" s="13">
        <f t="shared" si="9"/>
        <v>0</v>
      </c>
      <c r="T44" s="4" t="s">
        <v>59</v>
      </c>
      <c r="U44" s="26"/>
      <c r="V44" s="26"/>
    </row>
    <row r="45" spans="1:26" s="14" customFormat="1" x14ac:dyDescent="0.25">
      <c r="A45" s="100"/>
      <c r="B45" s="6" t="s">
        <v>26</v>
      </c>
      <c r="C45" s="7" t="s">
        <v>32</v>
      </c>
      <c r="D45" s="8"/>
      <c r="E45" s="8">
        <v>356.40753212920112</v>
      </c>
      <c r="F45" s="8"/>
      <c r="G45" s="8">
        <v>2948.6157881783752</v>
      </c>
      <c r="H45" s="11">
        <f t="shared" ref="H45:H52" si="10">I45+J45-G45-F45-E45-D45</f>
        <v>-7.6833203075775032</v>
      </c>
      <c r="I45" s="8">
        <v>3297.3399999999988</v>
      </c>
      <c r="J45" s="8">
        <v>0</v>
      </c>
      <c r="K45" s="8">
        <v>2458.31</v>
      </c>
      <c r="L45" s="8">
        <v>0</v>
      </c>
      <c r="M45" s="13"/>
      <c r="N45" s="13"/>
      <c r="O45" s="13"/>
      <c r="P45" s="13"/>
      <c r="Q45" s="13"/>
      <c r="R45" s="13"/>
      <c r="S45" s="13">
        <f t="shared" si="9"/>
        <v>0</v>
      </c>
      <c r="T45" s="4" t="s">
        <v>106</v>
      </c>
      <c r="U45" s="26"/>
      <c r="V45" s="26"/>
    </row>
    <row r="46" spans="1:26" s="14" customFormat="1" x14ac:dyDescent="0.25">
      <c r="A46" s="100"/>
      <c r="B46" s="6" t="s">
        <v>53</v>
      </c>
      <c r="C46" s="7" t="s">
        <v>54</v>
      </c>
      <c r="D46" s="8"/>
      <c r="E46" s="8">
        <v>1439.5112639786787</v>
      </c>
      <c r="F46" s="8"/>
      <c r="G46" s="8"/>
      <c r="H46" s="8" t="s">
        <v>58</v>
      </c>
      <c r="I46" s="8">
        <v>2491.4199999999996</v>
      </c>
      <c r="J46" s="8">
        <v>0</v>
      </c>
      <c r="K46" s="8">
        <v>0</v>
      </c>
      <c r="L46" s="8">
        <v>0</v>
      </c>
      <c r="M46" s="13"/>
      <c r="N46" s="13"/>
      <c r="O46" s="13"/>
      <c r="P46" s="13"/>
      <c r="Q46" s="13"/>
      <c r="R46" s="13"/>
      <c r="S46" s="13">
        <f t="shared" si="9"/>
        <v>0</v>
      </c>
      <c r="T46" s="4" t="s">
        <v>59</v>
      </c>
      <c r="U46" s="26"/>
      <c r="V46" s="26"/>
    </row>
    <row r="47" spans="1:26" s="14" customFormat="1" x14ac:dyDescent="0.25">
      <c r="A47" s="100"/>
      <c r="B47" s="6" t="s">
        <v>36</v>
      </c>
      <c r="C47" s="7" t="s">
        <v>37</v>
      </c>
      <c r="D47" s="8"/>
      <c r="E47" s="8">
        <v>121.92889257051617</v>
      </c>
      <c r="F47" s="8">
        <v>112.54974698816878</v>
      </c>
      <c r="G47" s="8"/>
      <c r="H47" s="8" t="s">
        <v>58</v>
      </c>
      <c r="I47" s="8">
        <v>18827.310000000012</v>
      </c>
      <c r="J47" s="8">
        <v>0</v>
      </c>
      <c r="K47" s="8">
        <v>0</v>
      </c>
      <c r="L47" s="8">
        <v>0</v>
      </c>
      <c r="M47" s="13"/>
      <c r="N47" s="13"/>
      <c r="O47" s="13"/>
      <c r="P47" s="13"/>
      <c r="Q47" s="13"/>
      <c r="R47" s="13"/>
      <c r="S47" s="13">
        <f t="shared" si="9"/>
        <v>0</v>
      </c>
      <c r="T47" s="4" t="s">
        <v>59</v>
      </c>
      <c r="U47" s="26"/>
      <c r="V47" s="26"/>
    </row>
    <row r="48" spans="1:26" s="14" customFormat="1" x14ac:dyDescent="0.25">
      <c r="A48" s="100"/>
      <c r="B48" s="6" t="s">
        <v>45</v>
      </c>
      <c r="C48" s="7" t="s">
        <v>46</v>
      </c>
      <c r="D48" s="8"/>
      <c r="E48" s="8">
        <v>393.92411445859074</v>
      </c>
      <c r="F48" s="8"/>
      <c r="G48" s="8">
        <v>2959.4955970538981</v>
      </c>
      <c r="H48" s="11">
        <f t="shared" si="10"/>
        <v>-1319.5397115124879</v>
      </c>
      <c r="I48" s="8">
        <v>1995.7900000000011</v>
      </c>
      <c r="J48" s="8">
        <v>38.090000000000003</v>
      </c>
      <c r="K48" s="8">
        <v>2354.14</v>
      </c>
      <c r="L48" s="8">
        <v>0</v>
      </c>
      <c r="M48" s="13">
        <v>1342.5</v>
      </c>
      <c r="N48" s="13"/>
      <c r="O48" s="13"/>
      <c r="P48" s="13"/>
      <c r="Q48" s="13"/>
      <c r="R48" s="13"/>
      <c r="S48" s="13">
        <f t="shared" si="9"/>
        <v>1342.5</v>
      </c>
      <c r="T48" s="4" t="s">
        <v>106</v>
      </c>
      <c r="U48" s="26"/>
      <c r="V48" s="26"/>
    </row>
    <row r="49" spans="1:22" s="14" customFormat="1" x14ac:dyDescent="0.25">
      <c r="A49" s="100"/>
      <c r="B49" s="6" t="s">
        <v>138</v>
      </c>
      <c r="C49" s="7" t="s">
        <v>139</v>
      </c>
      <c r="D49" s="8">
        <v>1001.1656402129743</v>
      </c>
      <c r="E49" s="8"/>
      <c r="F49" s="8"/>
      <c r="G49" s="8"/>
      <c r="H49" s="11">
        <f t="shared" si="10"/>
        <v>-1001.1656402129743</v>
      </c>
      <c r="I49" s="8"/>
      <c r="J49" s="8"/>
      <c r="K49" s="8"/>
      <c r="L49" s="8"/>
      <c r="M49" s="13"/>
      <c r="N49" s="13">
        <v>1365</v>
      </c>
      <c r="O49" s="13"/>
      <c r="P49" s="13"/>
      <c r="Q49" s="13"/>
      <c r="R49" s="13"/>
      <c r="S49" s="13">
        <f t="shared" si="9"/>
        <v>1365</v>
      </c>
      <c r="T49" s="4" t="s">
        <v>171</v>
      </c>
      <c r="U49" s="26"/>
      <c r="V49" s="26"/>
    </row>
    <row r="50" spans="1:22" s="14" customFormat="1" x14ac:dyDescent="0.25">
      <c r="A50" s="100"/>
      <c r="B50" s="6" t="s">
        <v>38</v>
      </c>
      <c r="C50" s="7" t="s">
        <v>39</v>
      </c>
      <c r="D50" s="8"/>
      <c r="E50" s="8"/>
      <c r="F50" s="8">
        <v>29.45051712857083</v>
      </c>
      <c r="G50" s="8"/>
      <c r="H50" s="8" t="s">
        <v>58</v>
      </c>
      <c r="I50" s="8">
        <v>768.72000000000014</v>
      </c>
      <c r="J50" s="8">
        <v>0</v>
      </c>
      <c r="K50" s="8">
        <v>0</v>
      </c>
      <c r="L50" s="8">
        <v>0</v>
      </c>
      <c r="M50" s="13"/>
      <c r="N50" s="13"/>
      <c r="O50" s="13"/>
      <c r="P50" s="13"/>
      <c r="Q50" s="13"/>
      <c r="R50" s="13"/>
      <c r="S50" s="13">
        <f t="shared" si="9"/>
        <v>0</v>
      </c>
      <c r="T50" s="4" t="s">
        <v>59</v>
      </c>
      <c r="U50" s="26"/>
      <c r="V50" s="26"/>
    </row>
    <row r="51" spans="1:22" s="14" customFormat="1" x14ac:dyDescent="0.25">
      <c r="A51" s="100"/>
      <c r="B51" s="6" t="s">
        <v>47</v>
      </c>
      <c r="C51" s="7" t="s">
        <v>48</v>
      </c>
      <c r="D51" s="8"/>
      <c r="E51" s="8">
        <v>468.95727911736992</v>
      </c>
      <c r="F51" s="8"/>
      <c r="G51" s="8">
        <v>2947.6778736201404</v>
      </c>
      <c r="H51" s="11">
        <f t="shared" si="10"/>
        <v>-2899.5851527375103</v>
      </c>
      <c r="I51" s="8">
        <v>517.04999999999995</v>
      </c>
      <c r="J51" s="8">
        <v>0</v>
      </c>
      <c r="K51" s="8">
        <v>1998.0800000000004</v>
      </c>
      <c r="L51" s="8">
        <v>0</v>
      </c>
      <c r="M51" s="13">
        <v>2671</v>
      </c>
      <c r="N51" s="13"/>
      <c r="O51" s="13"/>
      <c r="P51" s="13"/>
      <c r="Q51" s="13"/>
      <c r="R51" s="13"/>
      <c r="S51" s="13">
        <f t="shared" si="9"/>
        <v>2671</v>
      </c>
      <c r="T51" s="4" t="s">
        <v>135</v>
      </c>
      <c r="U51" s="26"/>
      <c r="V51" s="26"/>
    </row>
    <row r="52" spans="1:22" s="14" customFormat="1" x14ac:dyDescent="0.25">
      <c r="A52" s="101"/>
      <c r="B52" s="6" t="s">
        <v>49</v>
      </c>
      <c r="C52" s="7" t="s">
        <v>50</v>
      </c>
      <c r="D52" s="8"/>
      <c r="E52" s="8">
        <v>300.13265863511674</v>
      </c>
      <c r="F52" s="8"/>
      <c r="G52" s="8">
        <v>2959.4955970538981</v>
      </c>
      <c r="H52" s="11">
        <f t="shared" si="10"/>
        <v>-181.01825568901472</v>
      </c>
      <c r="I52" s="8">
        <v>3078.61</v>
      </c>
      <c r="J52" s="8">
        <v>0</v>
      </c>
      <c r="K52" s="8">
        <v>0</v>
      </c>
      <c r="L52" s="8">
        <v>1163.9300000000005</v>
      </c>
      <c r="M52" s="13"/>
      <c r="N52" s="13"/>
      <c r="O52" s="13"/>
      <c r="P52" s="13">
        <v>1326</v>
      </c>
      <c r="Q52" s="13"/>
      <c r="R52" s="13"/>
      <c r="S52" s="13">
        <f t="shared" si="9"/>
        <v>1326</v>
      </c>
      <c r="T52" s="4" t="s">
        <v>135</v>
      </c>
      <c r="U52" s="26"/>
      <c r="V52" s="26"/>
    </row>
    <row r="53" spans="1:22" ht="18.75" x14ac:dyDescent="0.25">
      <c r="A53" s="111" t="s">
        <v>181</v>
      </c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1"/>
      <c r="S53" s="112"/>
      <c r="T53" s="112"/>
    </row>
    <row r="54" spans="1:22" x14ac:dyDescent="0.25">
      <c r="A54" s="102" t="s">
        <v>18</v>
      </c>
      <c r="B54" s="102"/>
      <c r="C54" s="102" t="s">
        <v>30</v>
      </c>
      <c r="D54" s="94" t="s">
        <v>19</v>
      </c>
      <c r="E54" s="95"/>
      <c r="F54" s="95"/>
      <c r="G54" s="96"/>
      <c r="H54" s="98" t="s">
        <v>0</v>
      </c>
      <c r="I54" s="97" t="s">
        <v>1</v>
      </c>
      <c r="J54" s="97"/>
      <c r="K54" s="97" t="s">
        <v>2</v>
      </c>
      <c r="L54" s="97"/>
      <c r="M54" s="115" t="s">
        <v>3</v>
      </c>
      <c r="N54" s="115"/>
      <c r="O54" s="115"/>
      <c r="P54" s="115"/>
      <c r="Q54" s="115"/>
      <c r="R54" s="115"/>
      <c r="S54" s="116" t="s">
        <v>34</v>
      </c>
      <c r="T54" s="98" t="s">
        <v>35</v>
      </c>
    </row>
    <row r="55" spans="1:22" x14ac:dyDescent="0.25">
      <c r="A55" s="44" t="s">
        <v>20</v>
      </c>
      <c r="B55" s="44" t="s">
        <v>21</v>
      </c>
      <c r="C55" s="102"/>
      <c r="D55" s="10">
        <v>46256</v>
      </c>
      <c r="E55" s="10">
        <v>46269</v>
      </c>
      <c r="F55" s="10">
        <v>46275</v>
      </c>
      <c r="G55" s="10">
        <v>46285</v>
      </c>
      <c r="H55" s="98"/>
      <c r="I55" s="48" t="s">
        <v>4</v>
      </c>
      <c r="J55" s="48" t="s">
        <v>5</v>
      </c>
      <c r="K55" s="48" t="s">
        <v>6</v>
      </c>
      <c r="L55" s="48" t="s">
        <v>7</v>
      </c>
      <c r="M55" s="49" t="s">
        <v>8</v>
      </c>
      <c r="N55" s="5" t="s">
        <v>9</v>
      </c>
      <c r="O55" s="5" t="s">
        <v>27</v>
      </c>
      <c r="P55" s="49" t="s">
        <v>10</v>
      </c>
      <c r="Q55" s="49" t="s">
        <v>11</v>
      </c>
      <c r="R55" s="12" t="s">
        <v>40</v>
      </c>
      <c r="S55" s="116"/>
      <c r="T55" s="98"/>
    </row>
    <row r="56" spans="1:22" x14ac:dyDescent="0.25">
      <c r="A56" s="117" t="s">
        <v>78</v>
      </c>
      <c r="B56" s="6" t="s">
        <v>79</v>
      </c>
      <c r="C56" s="7" t="s">
        <v>80</v>
      </c>
      <c r="D56" s="8">
        <v>1.8384228538021801</v>
      </c>
      <c r="E56" s="8">
        <v>2.7576342807032699</v>
      </c>
      <c r="F56" s="8">
        <v>25.967722809955792</v>
      </c>
      <c r="G56" s="8">
        <v>7.3536914152087203</v>
      </c>
      <c r="H56" s="8" t="s">
        <v>58</v>
      </c>
      <c r="I56" s="13">
        <v>171.19</v>
      </c>
      <c r="J56" s="13">
        <v>0</v>
      </c>
      <c r="K56" s="13">
        <v>0</v>
      </c>
      <c r="L56" s="13">
        <v>0</v>
      </c>
      <c r="M56" s="13"/>
      <c r="N56" s="13"/>
      <c r="O56" s="13"/>
      <c r="P56" s="13"/>
      <c r="Q56" s="13"/>
      <c r="R56" s="13"/>
      <c r="S56" s="13">
        <f t="shared" ref="S56:S58" si="11">Q56+P56+O56+N56+M56+R56</f>
        <v>0</v>
      </c>
      <c r="T56" s="4" t="s">
        <v>59</v>
      </c>
    </row>
    <row r="57" spans="1:22" x14ac:dyDescent="0.25">
      <c r="A57" s="118"/>
      <c r="B57" s="6" t="s">
        <v>90</v>
      </c>
      <c r="C57" s="7" t="s">
        <v>91</v>
      </c>
      <c r="D57" s="8"/>
      <c r="E57" s="8"/>
      <c r="F57" s="8">
        <v>10.11132569591199</v>
      </c>
      <c r="G57" s="8">
        <v>2.7576342807032699</v>
      </c>
      <c r="H57" s="11">
        <f>I57+J57-F57-E57-D57-G57</f>
        <v>-12.86895997661526</v>
      </c>
      <c r="I57" s="13"/>
      <c r="J57" s="13"/>
      <c r="K57" s="13"/>
      <c r="L57" s="13"/>
      <c r="M57" s="13"/>
      <c r="N57" s="13"/>
      <c r="O57" s="13"/>
      <c r="P57" s="13">
        <v>446.5</v>
      </c>
      <c r="Q57" s="13"/>
      <c r="R57" s="13"/>
      <c r="S57" s="13">
        <f t="shared" si="11"/>
        <v>446.5</v>
      </c>
      <c r="T57" s="4" t="s">
        <v>171</v>
      </c>
    </row>
    <row r="58" spans="1:22" x14ac:dyDescent="0.25">
      <c r="A58" s="119"/>
      <c r="B58" s="6" t="s">
        <v>81</v>
      </c>
      <c r="C58" s="7" t="s">
        <v>82</v>
      </c>
      <c r="D58" s="8">
        <v>1.6086199970769075</v>
      </c>
      <c r="E58" s="8">
        <v>44.122148491252318</v>
      </c>
      <c r="F58" s="8">
        <v>17.924622824571255</v>
      </c>
      <c r="G58" s="8">
        <v>7.3536914152087203</v>
      </c>
      <c r="H58" s="8" t="s">
        <v>58</v>
      </c>
      <c r="I58" s="13">
        <v>191</v>
      </c>
      <c r="J58" s="13">
        <v>0</v>
      </c>
      <c r="K58" s="13">
        <v>0</v>
      </c>
      <c r="L58" s="13"/>
      <c r="M58" s="13"/>
      <c r="N58" s="13">
        <v>237.5</v>
      </c>
      <c r="O58" s="13"/>
      <c r="P58" s="13"/>
      <c r="Q58" s="13"/>
      <c r="R58" s="13"/>
      <c r="S58" s="13">
        <f t="shared" si="11"/>
        <v>237.5</v>
      </c>
      <c r="T58" s="4" t="s">
        <v>59</v>
      </c>
    </row>
    <row r="59" spans="1:22" x14ac:dyDescent="0.25">
      <c r="A59" s="60"/>
      <c r="B59" s="61"/>
      <c r="C59" s="62"/>
      <c r="D59" s="8"/>
      <c r="E59" s="63"/>
      <c r="F59" s="64"/>
      <c r="G59" s="65"/>
      <c r="H59" s="64"/>
      <c r="I59" s="66"/>
      <c r="J59" s="67"/>
      <c r="K59" s="68"/>
      <c r="L59" s="68"/>
      <c r="M59" s="68"/>
      <c r="N59" s="68"/>
      <c r="O59" s="66"/>
      <c r="P59" s="69"/>
      <c r="Q59" s="13"/>
      <c r="R59" s="16"/>
      <c r="S59" s="16"/>
      <c r="T59" s="15"/>
    </row>
    <row r="60" spans="1:22" x14ac:dyDescent="0.25">
      <c r="A60" s="81" t="s">
        <v>18</v>
      </c>
      <c r="B60" s="82"/>
      <c r="C60" s="83" t="s">
        <v>30</v>
      </c>
      <c r="D60" s="54" t="s">
        <v>19</v>
      </c>
      <c r="E60" s="85" t="s">
        <v>0</v>
      </c>
      <c r="F60" s="87" t="s">
        <v>1</v>
      </c>
      <c r="G60" s="88"/>
      <c r="H60" s="87" t="s">
        <v>2</v>
      </c>
      <c r="I60" s="88"/>
      <c r="J60" s="89" t="s">
        <v>3</v>
      </c>
      <c r="K60" s="90"/>
      <c r="L60" s="90"/>
      <c r="M60" s="90"/>
      <c r="N60" s="90"/>
      <c r="O60" s="91"/>
      <c r="P60" s="92" t="s">
        <v>34</v>
      </c>
      <c r="Q60" s="98" t="s">
        <v>35</v>
      </c>
    </row>
    <row r="61" spans="1:22" x14ac:dyDescent="0.25">
      <c r="A61" s="44" t="s">
        <v>20</v>
      </c>
      <c r="B61" s="44" t="s">
        <v>21</v>
      </c>
      <c r="C61" s="84"/>
      <c r="D61" s="10">
        <v>46282</v>
      </c>
      <c r="E61" s="86"/>
      <c r="F61" s="48" t="s">
        <v>4</v>
      </c>
      <c r="G61" s="48" t="s">
        <v>5</v>
      </c>
      <c r="H61" s="48" t="s">
        <v>6</v>
      </c>
      <c r="I61" s="48" t="s">
        <v>7</v>
      </c>
      <c r="J61" s="49" t="s">
        <v>8</v>
      </c>
      <c r="K61" s="5" t="s">
        <v>9</v>
      </c>
      <c r="L61" s="5" t="s">
        <v>27</v>
      </c>
      <c r="M61" s="49" t="s">
        <v>10</v>
      </c>
      <c r="N61" s="49" t="s">
        <v>11</v>
      </c>
      <c r="O61" s="12" t="s">
        <v>40</v>
      </c>
      <c r="P61" s="93"/>
      <c r="Q61" s="98"/>
    </row>
    <row r="62" spans="1:22" x14ac:dyDescent="0.25">
      <c r="A62" s="45" t="s">
        <v>147</v>
      </c>
      <c r="B62" s="6" t="s">
        <v>148</v>
      </c>
      <c r="C62" s="7" t="s">
        <v>149</v>
      </c>
      <c r="D62" s="8">
        <v>5513.180160248191</v>
      </c>
      <c r="E62" s="11">
        <f>F62+G62-D62</f>
        <v>-246.48016024818935</v>
      </c>
      <c r="F62" s="13">
        <v>5266.7000000000016</v>
      </c>
      <c r="G62" s="13">
        <v>0</v>
      </c>
      <c r="H62" s="13">
        <v>0</v>
      </c>
      <c r="I62" s="13">
        <v>23.62</v>
      </c>
      <c r="J62" s="13"/>
      <c r="K62" s="13"/>
      <c r="L62" s="13"/>
      <c r="M62" s="13"/>
      <c r="N62" s="13"/>
      <c r="O62" s="13"/>
      <c r="P62" s="13">
        <f>O62+N62+M62+L62+K62+J62</f>
        <v>0</v>
      </c>
      <c r="Q62" s="24" t="s">
        <v>73</v>
      </c>
    </row>
    <row r="64" spans="1:22" x14ac:dyDescent="0.25">
      <c r="A64" s="102" t="s">
        <v>18</v>
      </c>
      <c r="B64" s="102"/>
      <c r="C64" s="102" t="s">
        <v>30</v>
      </c>
      <c r="D64" s="94" t="s">
        <v>19</v>
      </c>
      <c r="E64" s="95"/>
      <c r="F64" s="96"/>
      <c r="G64" s="98" t="s">
        <v>0</v>
      </c>
      <c r="H64" s="97" t="s">
        <v>1</v>
      </c>
      <c r="I64" s="97"/>
      <c r="J64" s="97" t="s">
        <v>2</v>
      </c>
      <c r="K64" s="97"/>
      <c r="L64" s="115" t="s">
        <v>3</v>
      </c>
      <c r="M64" s="115"/>
      <c r="N64" s="115"/>
      <c r="O64" s="115"/>
      <c r="P64" s="115"/>
      <c r="Q64" s="115"/>
      <c r="R64" s="116" t="s">
        <v>34</v>
      </c>
      <c r="S64" s="98" t="s">
        <v>35</v>
      </c>
    </row>
    <row r="65" spans="1:19" x14ac:dyDescent="0.25">
      <c r="A65" s="44" t="s">
        <v>20</v>
      </c>
      <c r="B65" s="44" t="s">
        <v>21</v>
      </c>
      <c r="C65" s="102"/>
      <c r="D65" s="10">
        <v>46262</v>
      </c>
      <c r="E65" s="10">
        <v>46275</v>
      </c>
      <c r="F65" s="10">
        <v>46285</v>
      </c>
      <c r="G65" s="98"/>
      <c r="H65" s="48" t="s">
        <v>4</v>
      </c>
      <c r="I65" s="48" t="s">
        <v>5</v>
      </c>
      <c r="J65" s="48" t="s">
        <v>6</v>
      </c>
      <c r="K65" s="48" t="s">
        <v>7</v>
      </c>
      <c r="L65" s="49" t="s">
        <v>8</v>
      </c>
      <c r="M65" s="5" t="s">
        <v>9</v>
      </c>
      <c r="N65" s="5" t="s">
        <v>27</v>
      </c>
      <c r="O65" s="49" t="s">
        <v>10</v>
      </c>
      <c r="P65" s="49" t="s">
        <v>11</v>
      </c>
      <c r="Q65" s="12" t="s">
        <v>40</v>
      </c>
      <c r="R65" s="116"/>
      <c r="S65" s="98"/>
    </row>
    <row r="66" spans="1:19" x14ac:dyDescent="0.25">
      <c r="A66" s="106" t="s">
        <v>77</v>
      </c>
      <c r="B66" s="6" t="s">
        <v>71</v>
      </c>
      <c r="C66" s="7" t="s">
        <v>72</v>
      </c>
      <c r="D66" s="8">
        <v>2948.2621114772687</v>
      </c>
      <c r="E66" s="8">
        <v>158.40242659622126</v>
      </c>
      <c r="F66" s="8">
        <v>896.27993936261942</v>
      </c>
      <c r="G66" s="8" t="s">
        <v>58</v>
      </c>
      <c r="H66" s="13">
        <v>4263.7070000000012</v>
      </c>
      <c r="I66" s="13">
        <v>22.08</v>
      </c>
      <c r="J66" s="13">
        <v>1793.38</v>
      </c>
      <c r="K66" s="13">
        <v>622.19999999999993</v>
      </c>
      <c r="L66" s="13"/>
      <c r="M66" s="13">
        <v>2381</v>
      </c>
      <c r="N66" s="13"/>
      <c r="O66" s="13">
        <v>3962.5</v>
      </c>
      <c r="P66" s="13">
        <v>3161.5</v>
      </c>
      <c r="Q66" s="13"/>
      <c r="R66" s="13">
        <f>Q66+P66+O66+N66+M66+L66</f>
        <v>9505</v>
      </c>
      <c r="S66" s="4" t="s">
        <v>59</v>
      </c>
    </row>
    <row r="67" spans="1:19" x14ac:dyDescent="0.25">
      <c r="A67" s="106"/>
      <c r="B67" s="6" t="s">
        <v>55</v>
      </c>
      <c r="C67" s="7" t="s">
        <v>56</v>
      </c>
      <c r="D67" s="8"/>
      <c r="E67" s="8">
        <v>285.57095956659271</v>
      </c>
      <c r="F67" s="8">
        <v>68.812279413636801</v>
      </c>
      <c r="G67" s="8" t="s">
        <v>58</v>
      </c>
      <c r="H67" s="13">
        <v>5610.6919999999982</v>
      </c>
      <c r="I67" s="13">
        <v>20.34</v>
      </c>
      <c r="J67" s="13">
        <v>351.64</v>
      </c>
      <c r="K67" s="13">
        <v>0</v>
      </c>
      <c r="L67" s="30"/>
      <c r="M67" s="30"/>
      <c r="N67" s="31"/>
      <c r="O67" s="30"/>
      <c r="P67" s="30"/>
      <c r="Q67" s="13"/>
      <c r="R67" s="13">
        <f>Q67+P67+O67+N67+M67+L67</f>
        <v>0</v>
      </c>
      <c r="S67" s="4" t="s">
        <v>59</v>
      </c>
    </row>
    <row r="68" spans="1:19" x14ac:dyDescent="0.25">
      <c r="A68" s="106"/>
      <c r="B68" s="6" t="s">
        <v>57</v>
      </c>
      <c r="C68" s="7" t="s">
        <v>33</v>
      </c>
      <c r="D68" s="8">
        <v>405.99244854045713</v>
      </c>
      <c r="E68" s="8"/>
      <c r="F68" s="8">
        <v>496.65262666792358</v>
      </c>
      <c r="G68" s="8" t="s">
        <v>58</v>
      </c>
      <c r="H68" s="13">
        <v>4639.3170000000036</v>
      </c>
      <c r="I68" s="13">
        <v>1061.9199999999998</v>
      </c>
      <c r="J68" s="13">
        <v>3479.5900000000006</v>
      </c>
      <c r="K68" s="13">
        <v>2516.7900000000004</v>
      </c>
      <c r="L68" s="30">
        <v>1179.5</v>
      </c>
      <c r="M68" s="30">
        <v>5332</v>
      </c>
      <c r="N68" s="31"/>
      <c r="O68" s="30">
        <v>8583.5</v>
      </c>
      <c r="P68" s="30">
        <v>6956.5</v>
      </c>
      <c r="Q68" s="13"/>
      <c r="R68" s="13">
        <f>Q68+P68+O68+N68+M68+L68</f>
        <v>22051.5</v>
      </c>
      <c r="S68" s="4" t="s">
        <v>59</v>
      </c>
    </row>
    <row r="69" spans="1:19" x14ac:dyDescent="0.25">
      <c r="A69" s="106"/>
      <c r="B69" s="6" t="s">
        <v>97</v>
      </c>
      <c r="C69" s="7" t="s">
        <v>98</v>
      </c>
      <c r="D69" s="8">
        <v>1350.9570755882244</v>
      </c>
      <c r="E69" s="8"/>
      <c r="F69" s="8"/>
      <c r="G69" s="8" t="s">
        <v>58</v>
      </c>
      <c r="H69" s="13">
        <v>1458.2219999999998</v>
      </c>
      <c r="I69" s="13">
        <v>0</v>
      </c>
      <c r="J69" s="13">
        <v>0</v>
      </c>
      <c r="K69" s="13">
        <v>0</v>
      </c>
      <c r="L69" s="30"/>
      <c r="M69" s="30"/>
      <c r="N69" s="31"/>
      <c r="O69" s="30"/>
      <c r="P69" s="30"/>
      <c r="Q69" s="13"/>
      <c r="R69" s="13">
        <f>Q69+P69+O69+N69+M69+L69</f>
        <v>0</v>
      </c>
      <c r="S69" s="4" t="s">
        <v>59</v>
      </c>
    </row>
    <row r="71" spans="1:19" x14ac:dyDescent="0.25">
      <c r="A71" s="81" t="s">
        <v>18</v>
      </c>
      <c r="B71" s="82"/>
      <c r="C71" s="83" t="s">
        <v>30</v>
      </c>
      <c r="D71" s="94" t="s">
        <v>19</v>
      </c>
      <c r="E71" s="96"/>
      <c r="F71" s="85" t="s">
        <v>0</v>
      </c>
      <c r="G71" s="87" t="s">
        <v>1</v>
      </c>
      <c r="H71" s="88"/>
      <c r="I71" s="87" t="s">
        <v>2</v>
      </c>
      <c r="J71" s="88"/>
      <c r="K71" s="89" t="s">
        <v>3</v>
      </c>
      <c r="L71" s="90"/>
      <c r="M71" s="90"/>
      <c r="N71" s="90"/>
      <c r="O71" s="90"/>
      <c r="P71" s="91"/>
      <c r="Q71" s="92" t="s">
        <v>34</v>
      </c>
      <c r="R71" s="85" t="s">
        <v>35</v>
      </c>
    </row>
    <row r="72" spans="1:19" x14ac:dyDescent="0.25">
      <c r="A72" s="44" t="s">
        <v>20</v>
      </c>
      <c r="B72" s="44" t="s">
        <v>21</v>
      </c>
      <c r="C72" s="84"/>
      <c r="D72" s="10">
        <v>46262</v>
      </c>
      <c r="E72" s="10">
        <v>46275</v>
      </c>
      <c r="F72" s="86"/>
      <c r="G72" s="48" t="s">
        <v>4</v>
      </c>
      <c r="H72" s="48" t="s">
        <v>5</v>
      </c>
      <c r="I72" s="48" t="s">
        <v>6</v>
      </c>
      <c r="J72" s="48" t="s">
        <v>7</v>
      </c>
      <c r="K72" s="49" t="s">
        <v>8</v>
      </c>
      <c r="L72" s="5" t="s">
        <v>9</v>
      </c>
      <c r="M72" s="5" t="s">
        <v>27</v>
      </c>
      <c r="N72" s="49" t="s">
        <v>10</v>
      </c>
      <c r="O72" s="49" t="s">
        <v>11</v>
      </c>
      <c r="P72" s="12" t="s">
        <v>40</v>
      </c>
      <c r="Q72" s="93"/>
      <c r="R72" s="86"/>
    </row>
    <row r="73" spans="1:19" x14ac:dyDescent="0.25">
      <c r="A73" s="109" t="s">
        <v>85</v>
      </c>
      <c r="B73" s="6" t="s">
        <v>86</v>
      </c>
      <c r="C73" s="7" t="s">
        <v>87</v>
      </c>
      <c r="D73" s="8">
        <v>149.02442631301247</v>
      </c>
      <c r="E73" s="8">
        <v>4.5643009590509172</v>
      </c>
      <c r="F73" s="8" t="s">
        <v>58</v>
      </c>
      <c r="G73" s="8">
        <v>448.47799999999995</v>
      </c>
      <c r="H73" s="8">
        <v>0</v>
      </c>
      <c r="I73" s="8">
        <v>0</v>
      </c>
      <c r="J73" s="8">
        <v>127.09899999999999</v>
      </c>
      <c r="K73" s="8"/>
      <c r="L73" s="8"/>
      <c r="M73" s="8"/>
      <c r="N73" s="8"/>
      <c r="O73" s="8"/>
      <c r="P73" s="8"/>
      <c r="Q73" s="13">
        <f>O73+N73+M73+L73+K73+P73</f>
        <v>0</v>
      </c>
      <c r="R73" s="4" t="s">
        <v>59</v>
      </c>
    </row>
    <row r="74" spans="1:19" x14ac:dyDescent="0.25">
      <c r="A74" s="114"/>
      <c r="B74" s="6" t="s">
        <v>88</v>
      </c>
      <c r="C74" s="7" t="s">
        <v>89</v>
      </c>
      <c r="D74" s="8">
        <v>31.493676617451332</v>
      </c>
      <c r="E74" s="8"/>
      <c r="F74" s="8" t="s">
        <v>58</v>
      </c>
      <c r="G74" s="8">
        <v>808.20500000000004</v>
      </c>
      <c r="H74" s="8">
        <v>0</v>
      </c>
      <c r="I74" s="8">
        <v>0</v>
      </c>
      <c r="J74" s="8">
        <v>0</v>
      </c>
      <c r="K74" s="8"/>
      <c r="L74" s="8"/>
      <c r="M74" s="8"/>
      <c r="N74" s="8"/>
      <c r="O74" s="8"/>
      <c r="P74" s="8"/>
      <c r="Q74" s="13">
        <f t="shared" ref="Q74:Q75" si="12">O74+N74+M74+L74+K74+P74</f>
        <v>0</v>
      </c>
      <c r="R74" s="4" t="s">
        <v>59</v>
      </c>
    </row>
    <row r="75" spans="1:19" x14ac:dyDescent="0.25">
      <c r="A75" s="114"/>
      <c r="B75" s="6" t="s">
        <v>90</v>
      </c>
      <c r="C75" s="7" t="s">
        <v>91</v>
      </c>
      <c r="D75" s="8">
        <v>53.858751316800827</v>
      </c>
      <c r="E75" s="8"/>
      <c r="F75" s="8" t="s">
        <v>58</v>
      </c>
      <c r="G75" s="8">
        <v>762.3249999999997</v>
      </c>
      <c r="H75" s="8">
        <v>0</v>
      </c>
      <c r="I75" s="8">
        <v>0</v>
      </c>
      <c r="J75" s="8">
        <v>0</v>
      </c>
      <c r="K75" s="8"/>
      <c r="L75" s="8"/>
      <c r="M75" s="8"/>
      <c r="N75" s="8"/>
      <c r="O75" s="8"/>
      <c r="P75" s="8"/>
      <c r="Q75" s="13">
        <f t="shared" si="12"/>
        <v>0</v>
      </c>
      <c r="R75" s="4" t="s">
        <v>59</v>
      </c>
    </row>
    <row r="77" spans="1:19" x14ac:dyDescent="0.25">
      <c r="A77" s="81" t="s">
        <v>18</v>
      </c>
      <c r="B77" s="82"/>
      <c r="C77" s="83" t="s">
        <v>30</v>
      </c>
      <c r="D77" s="17" t="s">
        <v>19</v>
      </c>
      <c r="E77" s="85" t="s">
        <v>0</v>
      </c>
      <c r="F77" s="87" t="s">
        <v>1</v>
      </c>
      <c r="G77" s="88"/>
      <c r="H77" s="87" t="s">
        <v>2</v>
      </c>
      <c r="I77" s="88"/>
      <c r="J77" s="89" t="s">
        <v>3</v>
      </c>
      <c r="K77" s="90"/>
      <c r="L77" s="90"/>
      <c r="M77" s="90"/>
      <c r="N77" s="90"/>
      <c r="O77" s="91"/>
      <c r="P77" s="92" t="s">
        <v>34</v>
      </c>
      <c r="Q77" s="85" t="s">
        <v>35</v>
      </c>
    </row>
    <row r="78" spans="1:19" x14ac:dyDescent="0.25">
      <c r="A78" s="44" t="s">
        <v>20</v>
      </c>
      <c r="B78" s="44" t="s">
        <v>21</v>
      </c>
      <c r="C78" s="84"/>
      <c r="D78" s="10">
        <v>46262</v>
      </c>
      <c r="E78" s="86"/>
      <c r="F78" s="48" t="s">
        <v>4</v>
      </c>
      <c r="G78" s="48" t="s">
        <v>5</v>
      </c>
      <c r="H78" s="48" t="s">
        <v>6</v>
      </c>
      <c r="I78" s="48" t="s">
        <v>7</v>
      </c>
      <c r="J78" s="49" t="s">
        <v>8</v>
      </c>
      <c r="K78" s="5" t="s">
        <v>9</v>
      </c>
      <c r="L78" s="5" t="s">
        <v>27</v>
      </c>
      <c r="M78" s="49" t="s">
        <v>10</v>
      </c>
      <c r="N78" s="49" t="s">
        <v>11</v>
      </c>
      <c r="O78" s="12" t="s">
        <v>40</v>
      </c>
      <c r="P78" s="93"/>
      <c r="Q78" s="86"/>
    </row>
    <row r="79" spans="1:19" x14ac:dyDescent="0.25">
      <c r="A79" s="51" t="s">
        <v>92</v>
      </c>
      <c r="B79" s="6" t="s">
        <v>93</v>
      </c>
      <c r="C79" s="7" t="s">
        <v>94</v>
      </c>
      <c r="D79" s="8">
        <v>4.3662542777801772</v>
      </c>
      <c r="E79" s="8" t="s">
        <v>58</v>
      </c>
      <c r="F79" s="13">
        <v>232.18200000000007</v>
      </c>
      <c r="G79" s="13">
        <v>0</v>
      </c>
      <c r="H79" s="13">
        <v>0</v>
      </c>
      <c r="I79" s="13">
        <v>0</v>
      </c>
      <c r="J79" s="13"/>
      <c r="K79" s="13"/>
      <c r="L79" s="13"/>
      <c r="M79" s="13"/>
      <c r="N79" s="13"/>
      <c r="O79" s="13"/>
      <c r="P79" s="13">
        <f>N79+M79+L79+K79+J79+O79</f>
        <v>0</v>
      </c>
      <c r="Q79" s="4" t="s">
        <v>59</v>
      </c>
    </row>
    <row r="81" spans="1:20" ht="16.5" x14ac:dyDescent="0.3">
      <c r="A81" s="81" t="s">
        <v>18</v>
      </c>
      <c r="B81" s="82"/>
      <c r="C81" s="83" t="s">
        <v>30</v>
      </c>
      <c r="D81" s="17" t="s">
        <v>19</v>
      </c>
      <c r="E81" s="85" t="s">
        <v>0</v>
      </c>
      <c r="F81" s="87" t="s">
        <v>1</v>
      </c>
      <c r="G81" s="88"/>
      <c r="H81" s="87" t="s">
        <v>2</v>
      </c>
      <c r="I81" s="88"/>
      <c r="J81" s="89" t="s">
        <v>3</v>
      </c>
      <c r="K81" s="90"/>
      <c r="L81" s="90"/>
      <c r="M81" s="90"/>
      <c r="N81" s="90"/>
      <c r="O81" s="91"/>
      <c r="P81" s="92" t="s">
        <v>34</v>
      </c>
      <c r="Q81" s="98" t="s">
        <v>35</v>
      </c>
      <c r="R81" s="1"/>
      <c r="T81" s="3"/>
    </row>
    <row r="82" spans="1:20" ht="16.5" x14ac:dyDescent="0.3">
      <c r="A82" s="44" t="s">
        <v>20</v>
      </c>
      <c r="B82" s="44" t="s">
        <v>21</v>
      </c>
      <c r="C82" s="84"/>
      <c r="D82" s="10">
        <v>46262</v>
      </c>
      <c r="E82" s="86"/>
      <c r="F82" s="48" t="s">
        <v>4</v>
      </c>
      <c r="G82" s="48" t="s">
        <v>5</v>
      </c>
      <c r="H82" s="48" t="s">
        <v>6</v>
      </c>
      <c r="I82" s="48" t="s">
        <v>7</v>
      </c>
      <c r="J82" s="49" t="s">
        <v>8</v>
      </c>
      <c r="K82" s="5" t="s">
        <v>9</v>
      </c>
      <c r="L82" s="5" t="s">
        <v>27</v>
      </c>
      <c r="M82" s="49" t="s">
        <v>10</v>
      </c>
      <c r="N82" s="49" t="s">
        <v>11</v>
      </c>
      <c r="O82" s="12" t="s">
        <v>40</v>
      </c>
      <c r="P82" s="93"/>
      <c r="Q82" s="98"/>
      <c r="R82" s="25"/>
      <c r="T82" s="3"/>
    </row>
    <row r="83" spans="1:20" x14ac:dyDescent="0.25">
      <c r="A83" s="53" t="s">
        <v>74</v>
      </c>
      <c r="B83" s="6" t="s">
        <v>83</v>
      </c>
      <c r="C83" s="7" t="s">
        <v>84</v>
      </c>
      <c r="D83" s="8">
        <v>88.59219425182809</v>
      </c>
      <c r="E83" s="8" t="s">
        <v>58</v>
      </c>
      <c r="F83" s="13">
        <v>1614.72</v>
      </c>
      <c r="G83" s="13">
        <v>0</v>
      </c>
      <c r="H83" s="13">
        <v>207.54000000000002</v>
      </c>
      <c r="I83" s="13">
        <v>0</v>
      </c>
      <c r="J83" s="13"/>
      <c r="K83" s="13"/>
      <c r="L83" s="13"/>
      <c r="M83" s="13"/>
      <c r="N83" s="13"/>
      <c r="O83" s="13"/>
      <c r="P83" s="13">
        <f>O83+N83+M83+L83+K83+J83</f>
        <v>0</v>
      </c>
      <c r="Q83" s="4" t="s">
        <v>59</v>
      </c>
      <c r="R83" s="25"/>
    </row>
    <row r="85" spans="1:20" x14ac:dyDescent="0.25">
      <c r="A85" s="102" t="s">
        <v>18</v>
      </c>
      <c r="B85" s="102"/>
      <c r="C85" s="102" t="s">
        <v>30</v>
      </c>
      <c r="D85" s="54" t="s">
        <v>19</v>
      </c>
      <c r="E85" s="98" t="s">
        <v>0</v>
      </c>
      <c r="F85" s="97" t="s">
        <v>1</v>
      </c>
      <c r="G85" s="97"/>
      <c r="H85" s="97" t="s">
        <v>2</v>
      </c>
      <c r="I85" s="97"/>
      <c r="J85" s="115" t="s">
        <v>3</v>
      </c>
      <c r="K85" s="115"/>
      <c r="L85" s="115"/>
      <c r="M85" s="115"/>
      <c r="N85" s="115"/>
      <c r="O85" s="115"/>
      <c r="P85" s="116" t="s">
        <v>34</v>
      </c>
      <c r="Q85" s="98" t="s">
        <v>35</v>
      </c>
    </row>
    <row r="86" spans="1:20" x14ac:dyDescent="0.25">
      <c r="A86" s="44" t="s">
        <v>20</v>
      </c>
      <c r="B86" s="44" t="s">
        <v>21</v>
      </c>
      <c r="C86" s="102"/>
      <c r="D86" s="10">
        <v>46284</v>
      </c>
      <c r="E86" s="98"/>
      <c r="F86" s="48" t="s">
        <v>4</v>
      </c>
      <c r="G86" s="48" t="s">
        <v>5</v>
      </c>
      <c r="H86" s="48" t="s">
        <v>6</v>
      </c>
      <c r="I86" s="48" t="s">
        <v>7</v>
      </c>
      <c r="J86" s="49" t="s">
        <v>8</v>
      </c>
      <c r="K86" s="5" t="s">
        <v>9</v>
      </c>
      <c r="L86" s="5" t="s">
        <v>27</v>
      </c>
      <c r="M86" s="49" t="s">
        <v>10</v>
      </c>
      <c r="N86" s="49" t="s">
        <v>11</v>
      </c>
      <c r="O86" s="12" t="s">
        <v>40</v>
      </c>
      <c r="P86" s="116"/>
      <c r="Q86" s="98"/>
    </row>
    <row r="87" spans="1:20" x14ac:dyDescent="0.25">
      <c r="A87" s="51" t="s">
        <v>99</v>
      </c>
      <c r="B87" s="6" t="s">
        <v>75</v>
      </c>
      <c r="C87" s="7" t="s">
        <v>76</v>
      </c>
      <c r="D87" s="8">
        <v>102.66590331830994</v>
      </c>
      <c r="E87" s="8" t="s">
        <v>58</v>
      </c>
      <c r="F87" s="13">
        <v>683.86</v>
      </c>
      <c r="G87" s="13">
        <v>0</v>
      </c>
      <c r="H87" s="13">
        <v>3344.4599999999973</v>
      </c>
      <c r="I87" s="13">
        <v>0</v>
      </c>
      <c r="J87" s="13"/>
      <c r="K87" s="13"/>
      <c r="L87" s="13"/>
      <c r="M87" s="13"/>
      <c r="N87" s="13"/>
      <c r="O87" s="13"/>
      <c r="P87" s="13">
        <f>O87+N87+M87+L87+K87+J87</f>
        <v>0</v>
      </c>
      <c r="Q87" s="4" t="s">
        <v>59</v>
      </c>
    </row>
    <row r="89" spans="1:20" x14ac:dyDescent="0.25">
      <c r="A89" s="102" t="s">
        <v>18</v>
      </c>
      <c r="B89" s="102"/>
      <c r="C89" s="102" t="s">
        <v>30</v>
      </c>
      <c r="D89" s="54" t="s">
        <v>19</v>
      </c>
      <c r="E89" s="98" t="s">
        <v>0</v>
      </c>
      <c r="F89" s="97" t="s">
        <v>1</v>
      </c>
      <c r="G89" s="97"/>
      <c r="H89" s="97" t="s">
        <v>2</v>
      </c>
      <c r="I89" s="97"/>
      <c r="J89" s="115" t="s">
        <v>3</v>
      </c>
      <c r="K89" s="115"/>
      <c r="L89" s="115"/>
      <c r="M89" s="115"/>
      <c r="N89" s="115"/>
      <c r="O89" s="115"/>
      <c r="P89" s="116" t="s">
        <v>34</v>
      </c>
      <c r="Q89" s="98" t="s">
        <v>35</v>
      </c>
    </row>
    <row r="90" spans="1:20" x14ac:dyDescent="0.25">
      <c r="A90" s="44" t="s">
        <v>20</v>
      </c>
      <c r="B90" s="44" t="s">
        <v>21</v>
      </c>
      <c r="C90" s="102"/>
      <c r="D90" s="10">
        <v>46262</v>
      </c>
      <c r="E90" s="98"/>
      <c r="F90" s="48" t="s">
        <v>4</v>
      </c>
      <c r="G90" s="48" t="s">
        <v>5</v>
      </c>
      <c r="H90" s="48" t="s">
        <v>6</v>
      </c>
      <c r="I90" s="48" t="s">
        <v>7</v>
      </c>
      <c r="J90" s="49" t="s">
        <v>8</v>
      </c>
      <c r="K90" s="5" t="s">
        <v>9</v>
      </c>
      <c r="L90" s="5" t="s">
        <v>27</v>
      </c>
      <c r="M90" s="49" t="s">
        <v>10</v>
      </c>
      <c r="N90" s="49" t="s">
        <v>11</v>
      </c>
      <c r="O90" s="12" t="s">
        <v>40</v>
      </c>
      <c r="P90" s="116"/>
      <c r="Q90" s="98"/>
    </row>
    <row r="91" spans="1:20" x14ac:dyDescent="0.25">
      <c r="A91" s="52" t="s">
        <v>128</v>
      </c>
      <c r="B91" s="6" t="s">
        <v>130</v>
      </c>
      <c r="C91" s="7" t="s">
        <v>131</v>
      </c>
      <c r="D91" s="8">
        <v>2.3297683099179669</v>
      </c>
      <c r="E91" s="8" t="s">
        <v>58</v>
      </c>
      <c r="F91" s="13">
        <v>31.826000000000001</v>
      </c>
      <c r="G91" s="13">
        <v>0</v>
      </c>
      <c r="H91" s="13">
        <v>0</v>
      </c>
      <c r="I91" s="13">
        <v>0</v>
      </c>
      <c r="J91" s="30"/>
      <c r="K91" s="30">
        <v>86</v>
      </c>
      <c r="L91" s="31"/>
      <c r="M91" s="30"/>
      <c r="N91" s="30"/>
      <c r="O91" s="13"/>
      <c r="P91" s="13">
        <f>O91+N91+M91+L91+K91+J91</f>
        <v>86</v>
      </c>
      <c r="Q91" s="4" t="s">
        <v>59</v>
      </c>
    </row>
    <row r="93" spans="1:20" x14ac:dyDescent="0.25">
      <c r="A93" s="102" t="s">
        <v>18</v>
      </c>
      <c r="B93" s="102"/>
      <c r="C93" s="102" t="s">
        <v>30</v>
      </c>
      <c r="D93" s="54" t="s">
        <v>19</v>
      </c>
      <c r="E93" s="85" t="s">
        <v>0</v>
      </c>
      <c r="F93" s="87" t="s">
        <v>1</v>
      </c>
      <c r="G93" s="88"/>
      <c r="H93" s="87" t="s">
        <v>2</v>
      </c>
      <c r="I93" s="88"/>
      <c r="J93" s="89" t="s">
        <v>3</v>
      </c>
      <c r="K93" s="90"/>
      <c r="L93" s="90"/>
      <c r="M93" s="90"/>
      <c r="N93" s="90"/>
      <c r="O93" s="91"/>
      <c r="P93" s="92" t="s">
        <v>34</v>
      </c>
      <c r="Q93" s="98" t="s">
        <v>35</v>
      </c>
    </row>
    <row r="94" spans="1:20" x14ac:dyDescent="0.25">
      <c r="A94" s="44" t="s">
        <v>20</v>
      </c>
      <c r="B94" s="44" t="s">
        <v>21</v>
      </c>
      <c r="C94" s="102"/>
      <c r="D94" s="10">
        <v>46263</v>
      </c>
      <c r="E94" s="86"/>
      <c r="F94" s="48" t="s">
        <v>4</v>
      </c>
      <c r="G94" s="48" t="s">
        <v>5</v>
      </c>
      <c r="H94" s="48" t="s">
        <v>6</v>
      </c>
      <c r="I94" s="48" t="s">
        <v>7</v>
      </c>
      <c r="J94" s="49" t="s">
        <v>8</v>
      </c>
      <c r="K94" s="5" t="s">
        <v>9</v>
      </c>
      <c r="L94" s="5" t="s">
        <v>27</v>
      </c>
      <c r="M94" s="49" t="s">
        <v>10</v>
      </c>
      <c r="N94" s="49" t="s">
        <v>11</v>
      </c>
      <c r="O94" s="12" t="s">
        <v>40</v>
      </c>
      <c r="P94" s="93"/>
      <c r="Q94" s="98"/>
    </row>
    <row r="95" spans="1:20" x14ac:dyDescent="0.25">
      <c r="A95" s="109" t="s">
        <v>142</v>
      </c>
      <c r="B95" s="6" t="s">
        <v>143</v>
      </c>
      <c r="C95" s="7" t="s">
        <v>144</v>
      </c>
      <c r="D95" s="8">
        <v>199.44793833478869</v>
      </c>
      <c r="E95" s="8" t="s">
        <v>58</v>
      </c>
      <c r="F95" s="13">
        <v>3029.8999999999978</v>
      </c>
      <c r="G95" s="13">
        <v>0</v>
      </c>
      <c r="H95" s="13">
        <v>0</v>
      </c>
      <c r="I95" s="13">
        <v>0</v>
      </c>
      <c r="J95" s="13"/>
      <c r="K95" s="13"/>
      <c r="L95" s="13"/>
      <c r="M95" s="13"/>
      <c r="N95" s="13"/>
      <c r="O95" s="13"/>
      <c r="P95" s="13">
        <f>O95+N95+M95+L95+K95+J95</f>
        <v>0</v>
      </c>
      <c r="Q95" s="4" t="s">
        <v>59</v>
      </c>
    </row>
    <row r="96" spans="1:20" x14ac:dyDescent="0.25">
      <c r="A96" s="114"/>
      <c r="B96" s="6" t="s">
        <v>168</v>
      </c>
      <c r="C96" s="7" t="s">
        <v>107</v>
      </c>
      <c r="D96" s="8">
        <v>172.91880551141136</v>
      </c>
      <c r="E96" s="8" t="s">
        <v>58</v>
      </c>
      <c r="F96" s="13">
        <v>1489.7300000000002</v>
      </c>
      <c r="G96" s="13">
        <v>0</v>
      </c>
      <c r="H96" s="13">
        <v>0</v>
      </c>
      <c r="I96" s="13">
        <v>0</v>
      </c>
      <c r="J96" s="13"/>
      <c r="K96" s="13"/>
      <c r="L96" s="13"/>
      <c r="M96" s="13"/>
      <c r="N96" s="13"/>
      <c r="O96" s="13"/>
      <c r="P96" s="13">
        <f t="shared" ref="P96:P97" si="13">O96+N96+M96+L96+K96+J96</f>
        <v>0</v>
      </c>
      <c r="Q96" s="4" t="s">
        <v>59</v>
      </c>
    </row>
    <row r="97" spans="1:17" x14ac:dyDescent="0.25">
      <c r="A97" s="114"/>
      <c r="B97" s="6" t="s">
        <v>169</v>
      </c>
      <c r="C97" s="7" t="s">
        <v>170</v>
      </c>
      <c r="D97" s="8">
        <v>87.897729234081552</v>
      </c>
      <c r="E97" s="8" t="s">
        <v>58</v>
      </c>
      <c r="F97" s="13">
        <v>1650.03</v>
      </c>
      <c r="G97" s="13">
        <v>0</v>
      </c>
      <c r="H97" s="13">
        <v>0</v>
      </c>
      <c r="I97" s="13">
        <v>0</v>
      </c>
      <c r="J97" s="13"/>
      <c r="K97" s="13"/>
      <c r="L97" s="13"/>
      <c r="M97" s="13"/>
      <c r="N97" s="13"/>
      <c r="O97" s="13"/>
      <c r="P97" s="13">
        <f t="shared" si="13"/>
        <v>0</v>
      </c>
      <c r="Q97" s="4" t="s">
        <v>59</v>
      </c>
    </row>
    <row r="99" spans="1:17" x14ac:dyDescent="0.25">
      <c r="A99" s="102" t="s">
        <v>18</v>
      </c>
      <c r="B99" s="102"/>
      <c r="C99" s="102" t="s">
        <v>30</v>
      </c>
      <c r="D99" s="54" t="s">
        <v>19</v>
      </c>
      <c r="E99" s="85" t="s">
        <v>0</v>
      </c>
      <c r="F99" s="87" t="s">
        <v>1</v>
      </c>
      <c r="G99" s="88"/>
      <c r="H99" s="87" t="s">
        <v>2</v>
      </c>
      <c r="I99" s="88"/>
      <c r="J99" s="89" t="s">
        <v>3</v>
      </c>
      <c r="K99" s="90"/>
      <c r="L99" s="90"/>
      <c r="M99" s="90"/>
      <c r="N99" s="90"/>
      <c r="O99" s="91"/>
      <c r="P99" s="92" t="s">
        <v>34</v>
      </c>
      <c r="Q99" s="98" t="s">
        <v>35</v>
      </c>
    </row>
    <row r="100" spans="1:17" x14ac:dyDescent="0.25">
      <c r="A100" s="44" t="s">
        <v>20</v>
      </c>
      <c r="B100" s="44" t="s">
        <v>21</v>
      </c>
      <c r="C100" s="102"/>
      <c r="D100" s="10">
        <v>46263</v>
      </c>
      <c r="E100" s="86"/>
      <c r="F100" s="48" t="s">
        <v>4</v>
      </c>
      <c r="G100" s="48" t="s">
        <v>5</v>
      </c>
      <c r="H100" s="48" t="s">
        <v>6</v>
      </c>
      <c r="I100" s="48" t="s">
        <v>7</v>
      </c>
      <c r="J100" s="49" t="s">
        <v>8</v>
      </c>
      <c r="K100" s="5" t="s">
        <v>9</v>
      </c>
      <c r="L100" s="5" t="s">
        <v>27</v>
      </c>
      <c r="M100" s="49" t="s">
        <v>10</v>
      </c>
      <c r="N100" s="49" t="s">
        <v>11</v>
      </c>
      <c r="O100" s="12" t="s">
        <v>40</v>
      </c>
      <c r="P100" s="93"/>
      <c r="Q100" s="98"/>
    </row>
    <row r="101" spans="1:17" x14ac:dyDescent="0.25">
      <c r="A101" s="51" t="s">
        <v>150</v>
      </c>
      <c r="B101" s="6" t="s">
        <v>151</v>
      </c>
      <c r="C101" s="7" t="s">
        <v>140</v>
      </c>
      <c r="D101" s="8">
        <v>473.04959733251167</v>
      </c>
      <c r="E101" s="8" t="s">
        <v>58</v>
      </c>
      <c r="F101" s="13">
        <v>14255.4</v>
      </c>
      <c r="G101" s="13">
        <v>32.230000000000004</v>
      </c>
      <c r="H101" s="13">
        <v>1634.0400000000004</v>
      </c>
      <c r="I101" s="13">
        <v>1619.0700000000002</v>
      </c>
      <c r="J101" s="13"/>
      <c r="K101" s="13">
        <v>1800</v>
      </c>
      <c r="L101" s="13"/>
      <c r="M101" s="13">
        <v>1836</v>
      </c>
      <c r="N101" s="13"/>
      <c r="O101" s="13"/>
      <c r="P101" s="13">
        <f>O101+N101+M101+L101+K101+J101</f>
        <v>3636</v>
      </c>
      <c r="Q101" s="4" t="s">
        <v>59</v>
      </c>
    </row>
  </sheetData>
  <mergeCells count="136">
    <mergeCell ref="Q99:Q100"/>
    <mergeCell ref="P93:P94"/>
    <mergeCell ref="Q93:Q94"/>
    <mergeCell ref="A95:A97"/>
    <mergeCell ref="A99:B99"/>
    <mergeCell ref="C99:C100"/>
    <mergeCell ref="E99:E100"/>
    <mergeCell ref="F99:G99"/>
    <mergeCell ref="H99:I99"/>
    <mergeCell ref="J99:O99"/>
    <mergeCell ref="P99:P100"/>
    <mergeCell ref="A93:B93"/>
    <mergeCell ref="C93:C94"/>
    <mergeCell ref="E93:E94"/>
    <mergeCell ref="F93:G93"/>
    <mergeCell ref="H93:I93"/>
    <mergeCell ref="J93:O93"/>
    <mergeCell ref="A89:B89"/>
    <mergeCell ref="C89:C90"/>
    <mergeCell ref="E89:E90"/>
    <mergeCell ref="F89:G89"/>
    <mergeCell ref="H89:I89"/>
    <mergeCell ref="J89:O89"/>
    <mergeCell ref="P89:P90"/>
    <mergeCell ref="Q89:Q90"/>
    <mergeCell ref="A85:B85"/>
    <mergeCell ref="C85:C86"/>
    <mergeCell ref="E85:E86"/>
    <mergeCell ref="F85:G85"/>
    <mergeCell ref="H85:I85"/>
    <mergeCell ref="J85:O85"/>
    <mergeCell ref="A81:B81"/>
    <mergeCell ref="C81:C82"/>
    <mergeCell ref="E81:E82"/>
    <mergeCell ref="F81:G81"/>
    <mergeCell ref="H81:I81"/>
    <mergeCell ref="J81:O81"/>
    <mergeCell ref="P81:P82"/>
    <mergeCell ref="Q81:Q82"/>
    <mergeCell ref="P85:P86"/>
    <mergeCell ref="Q85:Q86"/>
    <mergeCell ref="R71:R72"/>
    <mergeCell ref="A73:A75"/>
    <mergeCell ref="A77:B77"/>
    <mergeCell ref="C77:C78"/>
    <mergeCell ref="E77:E78"/>
    <mergeCell ref="F77:G77"/>
    <mergeCell ref="H77:I77"/>
    <mergeCell ref="J77:O77"/>
    <mergeCell ref="P77:P78"/>
    <mergeCell ref="Q77:Q78"/>
    <mergeCell ref="A66:A69"/>
    <mergeCell ref="A71:B71"/>
    <mergeCell ref="C71:C72"/>
    <mergeCell ref="D71:E71"/>
    <mergeCell ref="F71:F72"/>
    <mergeCell ref="G71:H71"/>
    <mergeCell ref="I71:J71"/>
    <mergeCell ref="K71:P71"/>
    <mergeCell ref="Q71:Q72"/>
    <mergeCell ref="A64:B64"/>
    <mergeCell ref="C64:C65"/>
    <mergeCell ref="D64:F64"/>
    <mergeCell ref="G64:G65"/>
    <mergeCell ref="H64:I64"/>
    <mergeCell ref="J64:K64"/>
    <mergeCell ref="L64:Q64"/>
    <mergeCell ref="R64:R65"/>
    <mergeCell ref="S64:S65"/>
    <mergeCell ref="M54:R54"/>
    <mergeCell ref="S54:S55"/>
    <mergeCell ref="T54:T55"/>
    <mergeCell ref="A56:A58"/>
    <mergeCell ref="A60:B60"/>
    <mergeCell ref="C60:C61"/>
    <mergeCell ref="E60:E61"/>
    <mergeCell ref="F60:G60"/>
    <mergeCell ref="H60:I60"/>
    <mergeCell ref="J60:O60"/>
    <mergeCell ref="A54:B54"/>
    <mergeCell ref="C54:C55"/>
    <mergeCell ref="D54:G54"/>
    <mergeCell ref="H54:H55"/>
    <mergeCell ref="I54:J54"/>
    <mergeCell ref="K54:L54"/>
    <mergeCell ref="P60:P61"/>
    <mergeCell ref="Q60:Q61"/>
    <mergeCell ref="K35:L35"/>
    <mergeCell ref="M35:R35"/>
    <mergeCell ref="S35:S36"/>
    <mergeCell ref="T35:T36"/>
    <mergeCell ref="A37:A52"/>
    <mergeCell ref="A53:Q53"/>
    <mergeCell ref="R53:T53"/>
    <mergeCell ref="A28:A33"/>
    <mergeCell ref="A35:B35"/>
    <mergeCell ref="C35:C36"/>
    <mergeCell ref="D35:G35"/>
    <mergeCell ref="H35:H36"/>
    <mergeCell ref="I35:J35"/>
    <mergeCell ref="A18:A24"/>
    <mergeCell ref="A25:T25"/>
    <mergeCell ref="A26:B26"/>
    <mergeCell ref="C26:C27"/>
    <mergeCell ref="E26:E27"/>
    <mergeCell ref="F26:G26"/>
    <mergeCell ref="H26:I26"/>
    <mergeCell ref="J26:O26"/>
    <mergeCell ref="P26:P27"/>
    <mergeCell ref="Q26:Q27"/>
    <mergeCell ref="Q11:Q12"/>
    <mergeCell ref="A13:A14"/>
    <mergeCell ref="A15:Q15"/>
    <mergeCell ref="A16:B16"/>
    <mergeCell ref="C16:C17"/>
    <mergeCell ref="D16:G16"/>
    <mergeCell ref="M16:R16"/>
    <mergeCell ref="Q2:Q3"/>
    <mergeCell ref="R2:R3"/>
    <mergeCell ref="A4:A9"/>
    <mergeCell ref="A10:Q10"/>
    <mergeCell ref="A11:B11"/>
    <mergeCell ref="C11:C12"/>
    <mergeCell ref="E11:E12"/>
    <mergeCell ref="F11:G11"/>
    <mergeCell ref="H11:I11"/>
    <mergeCell ref="J11:O11"/>
    <mergeCell ref="A1:P1"/>
    <mergeCell ref="A2:B2"/>
    <mergeCell ref="C2:C3"/>
    <mergeCell ref="D2:E2"/>
    <mergeCell ref="F2:F3"/>
    <mergeCell ref="G2:H2"/>
    <mergeCell ref="I2:J2"/>
    <mergeCell ref="K2:P2"/>
    <mergeCell ref="P11:P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8"/>
  <sheetViews>
    <sheetView topLeftCell="A16" zoomScaleNormal="100" workbookViewId="0">
      <selection activeCell="E11" sqref="E11"/>
    </sheetView>
  </sheetViews>
  <sheetFormatPr defaultRowHeight="15" x14ac:dyDescent="0.25"/>
  <cols>
    <col min="1" max="1" width="11" bestFit="1" customWidth="1"/>
    <col min="2" max="2" width="11.42578125" bestFit="1" customWidth="1"/>
    <col min="3" max="3" width="29.28515625" bestFit="1" customWidth="1"/>
    <col min="4" max="4" width="13.42578125" bestFit="1" customWidth="1"/>
    <col min="5" max="8" width="10" bestFit="1" customWidth="1"/>
    <col min="9" max="9" width="12.140625" bestFit="1" customWidth="1"/>
  </cols>
  <sheetData>
    <row r="1" spans="1:26" ht="23.25" x14ac:dyDescent="0.35">
      <c r="A1" s="80" t="s">
        <v>182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29"/>
      <c r="R1" s="28"/>
      <c r="S1" s="28"/>
      <c r="T1" s="28"/>
      <c r="U1" s="28"/>
    </row>
    <row r="2" spans="1:26" x14ac:dyDescent="0.25">
      <c r="A2" s="81" t="s">
        <v>18</v>
      </c>
      <c r="B2" s="82"/>
      <c r="C2" s="83" t="s">
        <v>30</v>
      </c>
      <c r="D2" s="94" t="s">
        <v>19</v>
      </c>
      <c r="E2" s="96"/>
      <c r="F2" s="85" t="s">
        <v>0</v>
      </c>
      <c r="G2" s="87" t="s">
        <v>1</v>
      </c>
      <c r="H2" s="88"/>
      <c r="I2" s="87" t="s">
        <v>2</v>
      </c>
      <c r="J2" s="88"/>
      <c r="K2" s="89" t="s">
        <v>3</v>
      </c>
      <c r="L2" s="90"/>
      <c r="M2" s="90"/>
      <c r="N2" s="90"/>
      <c r="O2" s="90"/>
      <c r="P2" s="91"/>
      <c r="Q2" s="92" t="s">
        <v>34</v>
      </c>
      <c r="R2" s="98" t="s">
        <v>35</v>
      </c>
    </row>
    <row r="3" spans="1:26" x14ac:dyDescent="0.25">
      <c r="A3" s="44" t="s">
        <v>20</v>
      </c>
      <c r="B3" s="44" t="s">
        <v>21</v>
      </c>
      <c r="C3" s="84"/>
      <c r="D3" s="10">
        <v>46259</v>
      </c>
      <c r="E3" s="10">
        <v>46268</v>
      </c>
      <c r="F3" s="86"/>
      <c r="G3" s="48" t="s">
        <v>4</v>
      </c>
      <c r="H3" s="48" t="s">
        <v>5</v>
      </c>
      <c r="I3" s="48" t="s">
        <v>6</v>
      </c>
      <c r="J3" s="48" t="s">
        <v>7</v>
      </c>
      <c r="K3" s="49" t="s">
        <v>8</v>
      </c>
      <c r="L3" s="5" t="s">
        <v>9</v>
      </c>
      <c r="M3" s="5" t="s">
        <v>27</v>
      </c>
      <c r="N3" s="49" t="s">
        <v>10</v>
      </c>
      <c r="O3" s="49" t="s">
        <v>11</v>
      </c>
      <c r="P3" s="12" t="s">
        <v>40</v>
      </c>
      <c r="Q3" s="93"/>
      <c r="R3" s="98"/>
    </row>
    <row r="4" spans="1:26" x14ac:dyDescent="0.25">
      <c r="A4" s="100" t="s">
        <v>122</v>
      </c>
      <c r="B4" s="6" t="s">
        <v>125</v>
      </c>
      <c r="C4" s="7" t="s">
        <v>111</v>
      </c>
      <c r="D4" s="8">
        <v>44.707863445596594</v>
      </c>
      <c r="E4" s="8"/>
      <c r="F4" s="8" t="s">
        <v>58</v>
      </c>
      <c r="G4" s="8">
        <v>68.81</v>
      </c>
      <c r="H4" s="8">
        <v>0</v>
      </c>
      <c r="I4" s="8">
        <v>50.14</v>
      </c>
      <c r="J4" s="8">
        <v>0</v>
      </c>
      <c r="K4" s="13"/>
      <c r="L4" s="13"/>
      <c r="M4" s="13"/>
      <c r="N4" s="13"/>
      <c r="O4" s="13"/>
      <c r="P4" s="13"/>
      <c r="Q4" s="13">
        <f t="shared" ref="Q4:Q6" si="0">P4+O4+N4+M4+L4+K4</f>
        <v>0</v>
      </c>
      <c r="R4" s="4" t="s">
        <v>59</v>
      </c>
    </row>
    <row r="5" spans="1:26" x14ac:dyDescent="0.25">
      <c r="A5" s="100"/>
      <c r="B5" s="6" t="s">
        <v>190</v>
      </c>
      <c r="C5" s="7" t="s">
        <v>191</v>
      </c>
      <c r="D5" s="8"/>
      <c r="E5" s="8">
        <v>18.61141826694519</v>
      </c>
      <c r="F5" s="8" t="s">
        <v>58</v>
      </c>
      <c r="G5" s="8">
        <v>344.86000000000007</v>
      </c>
      <c r="H5" s="8">
        <v>0</v>
      </c>
      <c r="I5" s="8">
        <v>0</v>
      </c>
      <c r="J5" s="8">
        <v>0</v>
      </c>
      <c r="K5" s="13"/>
      <c r="L5" s="13"/>
      <c r="M5" s="13"/>
      <c r="N5" s="13"/>
      <c r="O5" s="13"/>
      <c r="P5" s="13"/>
      <c r="Q5" s="13">
        <f t="shared" ref="Q5" si="1">P5+O5+N5+M5+L5+K5</f>
        <v>0</v>
      </c>
      <c r="R5" s="4" t="s">
        <v>59</v>
      </c>
    </row>
    <row r="6" spans="1:26" x14ac:dyDescent="0.25">
      <c r="A6" s="101"/>
      <c r="B6" s="6" t="s">
        <v>127</v>
      </c>
      <c r="C6" s="7" t="s">
        <v>115</v>
      </c>
      <c r="D6" s="8">
        <v>10.564002846737802</v>
      </c>
      <c r="E6" s="8"/>
      <c r="F6" s="11">
        <f>G6+H6-D6</f>
        <v>-10.564002846737802</v>
      </c>
      <c r="G6" s="8">
        <v>0</v>
      </c>
      <c r="H6" s="8">
        <v>0</v>
      </c>
      <c r="I6" s="8">
        <v>0</v>
      </c>
      <c r="J6" s="8">
        <v>101.41</v>
      </c>
      <c r="K6" s="13"/>
      <c r="L6" s="13"/>
      <c r="M6" s="13"/>
      <c r="N6" s="13"/>
      <c r="O6" s="13"/>
      <c r="P6" s="13"/>
      <c r="Q6" s="13">
        <f t="shared" si="0"/>
        <v>0</v>
      </c>
      <c r="R6" s="4" t="s">
        <v>135</v>
      </c>
    </row>
    <row r="7" spans="1:26" s="14" customFormat="1" ht="21" x14ac:dyDescent="0.25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33"/>
      <c r="S7" s="33"/>
      <c r="T7" s="32"/>
      <c r="U7" s="32"/>
      <c r="V7" s="32"/>
      <c r="W7" s="32"/>
      <c r="X7" s="27"/>
      <c r="Y7" s="27"/>
      <c r="Z7" s="27"/>
    </row>
    <row r="8" spans="1:26" s="14" customFormat="1" ht="30" x14ac:dyDescent="0.25">
      <c r="A8" s="102" t="s">
        <v>18</v>
      </c>
      <c r="B8" s="102"/>
      <c r="C8" s="102" t="s">
        <v>30</v>
      </c>
      <c r="D8" s="103" t="s">
        <v>19</v>
      </c>
      <c r="E8" s="104"/>
      <c r="F8" s="104"/>
      <c r="G8" s="104"/>
      <c r="H8" s="105"/>
      <c r="I8" s="85" t="s">
        <v>0</v>
      </c>
      <c r="J8" s="78" t="s">
        <v>1</v>
      </c>
      <c r="K8" s="78"/>
      <c r="L8" s="78" t="s">
        <v>2</v>
      </c>
      <c r="M8" s="78"/>
      <c r="N8" s="115" t="s">
        <v>3</v>
      </c>
      <c r="O8" s="115"/>
      <c r="P8" s="115"/>
      <c r="Q8" s="115"/>
      <c r="R8" s="115"/>
      <c r="S8" s="115"/>
      <c r="T8" s="79" t="s">
        <v>34</v>
      </c>
      <c r="U8" s="77" t="s">
        <v>35</v>
      </c>
      <c r="W8" s="14" t="s">
        <v>177</v>
      </c>
    </row>
    <row r="9" spans="1:26" s="14" customFormat="1" x14ac:dyDescent="0.25">
      <c r="A9" s="56" t="s">
        <v>20</v>
      </c>
      <c r="B9" s="56" t="s">
        <v>21</v>
      </c>
      <c r="C9" s="102"/>
      <c r="D9" s="10">
        <v>46262</v>
      </c>
      <c r="E9" s="10">
        <v>46263</v>
      </c>
      <c r="F9" s="10">
        <v>46268</v>
      </c>
      <c r="G9" s="10">
        <v>46275</v>
      </c>
      <c r="H9" s="10">
        <v>46285</v>
      </c>
      <c r="I9" s="86"/>
      <c r="J9" s="57" t="s">
        <v>4</v>
      </c>
      <c r="K9" s="57" t="s">
        <v>5</v>
      </c>
      <c r="L9" s="57" t="s">
        <v>6</v>
      </c>
      <c r="M9" s="57" t="s">
        <v>7</v>
      </c>
      <c r="N9" s="58" t="s">
        <v>8</v>
      </c>
      <c r="O9" s="5" t="s">
        <v>9</v>
      </c>
      <c r="P9" s="5" t="s">
        <v>27</v>
      </c>
      <c r="Q9" s="58" t="s">
        <v>10</v>
      </c>
      <c r="R9" s="58" t="s">
        <v>11</v>
      </c>
      <c r="S9" s="12" t="s">
        <v>40</v>
      </c>
      <c r="T9" s="79"/>
      <c r="U9" s="77"/>
    </row>
    <row r="10" spans="1:26" s="14" customFormat="1" x14ac:dyDescent="0.25">
      <c r="A10" s="117" t="s">
        <v>12</v>
      </c>
      <c r="B10" s="6" t="s">
        <v>71</v>
      </c>
      <c r="C10" s="7" t="s">
        <v>72</v>
      </c>
      <c r="D10" s="8">
        <v>3619.3538664587618</v>
      </c>
      <c r="E10" s="8"/>
      <c r="F10" s="8">
        <v>170.138360850217</v>
      </c>
      <c r="G10" s="8">
        <v>117.87543463555984</v>
      </c>
      <c r="H10" s="8"/>
      <c r="I10" s="8" t="s">
        <v>58</v>
      </c>
      <c r="J10" s="8">
        <v>10632.291999999998</v>
      </c>
      <c r="K10" s="8">
        <v>0</v>
      </c>
      <c r="L10" s="8">
        <v>147.86000000000001</v>
      </c>
      <c r="M10" s="8">
        <v>0</v>
      </c>
      <c r="N10" s="8"/>
      <c r="O10" s="8"/>
      <c r="P10" s="8"/>
      <c r="Q10" s="8"/>
      <c r="R10" s="8"/>
      <c r="S10" s="8"/>
      <c r="T10" s="13">
        <f>S10+R10+Q10+P10+O10+N10</f>
        <v>0</v>
      </c>
      <c r="U10" s="4" t="s">
        <v>59</v>
      </c>
    </row>
    <row r="11" spans="1:26" s="14" customFormat="1" x14ac:dyDescent="0.25">
      <c r="A11" s="118"/>
      <c r="B11" s="6" t="s">
        <v>55</v>
      </c>
      <c r="C11" s="7" t="s">
        <v>56</v>
      </c>
      <c r="D11" s="8">
        <v>827.98375204458478</v>
      </c>
      <c r="E11" s="8">
        <v>74.833353862330014</v>
      </c>
      <c r="F11" s="8">
        <v>94.616884193750593</v>
      </c>
      <c r="G11" s="8">
        <v>1086.9570453108217</v>
      </c>
      <c r="H11" s="8">
        <v>87.56362555385283</v>
      </c>
      <c r="I11" s="8" t="s">
        <v>58</v>
      </c>
      <c r="J11" s="8">
        <v>4324.6319999999996</v>
      </c>
      <c r="K11" s="8">
        <v>0</v>
      </c>
      <c r="L11" s="8">
        <v>299.24</v>
      </c>
      <c r="M11" s="8">
        <v>19.704999999999998</v>
      </c>
      <c r="N11" s="8"/>
      <c r="O11" s="8"/>
      <c r="P11" s="8"/>
      <c r="Q11" s="8"/>
      <c r="R11" s="8"/>
      <c r="S11" s="8"/>
      <c r="T11" s="13">
        <f>S11+R11+Q11+P11+O11+N11</f>
        <v>0</v>
      </c>
      <c r="U11" s="4" t="s">
        <v>59</v>
      </c>
      <c r="V11" s="14" t="s">
        <v>96</v>
      </c>
    </row>
    <row r="12" spans="1:26" s="14" customFormat="1" x14ac:dyDescent="0.25">
      <c r="A12" s="118"/>
      <c r="B12" s="6" t="s">
        <v>57</v>
      </c>
      <c r="C12" s="7" t="s">
        <v>33</v>
      </c>
      <c r="D12" s="8">
        <v>1311.9061070209855</v>
      </c>
      <c r="E12" s="8">
        <v>187.34143070362617</v>
      </c>
      <c r="F12" s="8">
        <v>213.14603548373998</v>
      </c>
      <c r="G12" s="8">
        <v>1819.1953917792721</v>
      </c>
      <c r="H12" s="8">
        <v>217.27477224855821</v>
      </c>
      <c r="I12" s="11">
        <f>J12+K12-H12-G12-F12-E12-D12</f>
        <v>-780.17373723618334</v>
      </c>
      <c r="J12" s="8">
        <v>2447.7599999999989</v>
      </c>
      <c r="K12" s="8">
        <v>520.92999999999995</v>
      </c>
      <c r="L12" s="8">
        <v>271.16000000000003</v>
      </c>
      <c r="M12" s="8">
        <v>0</v>
      </c>
      <c r="N12" s="8"/>
      <c r="O12" s="8"/>
      <c r="P12" s="8"/>
      <c r="Q12" s="8">
        <v>851.6</v>
      </c>
      <c r="R12" s="8">
        <v>619</v>
      </c>
      <c r="S12" s="8"/>
      <c r="T12" s="13">
        <f t="shared" ref="T12" si="2">S12+R12+Q12+P12+O12+N12</f>
        <v>1470.6</v>
      </c>
      <c r="U12" s="4" t="s">
        <v>192</v>
      </c>
    </row>
    <row r="13" spans="1:26" s="14" customFormat="1" x14ac:dyDescent="0.25">
      <c r="A13" s="118"/>
      <c r="B13" s="6" t="s">
        <v>162</v>
      </c>
      <c r="C13" s="7" t="s">
        <v>163</v>
      </c>
      <c r="D13" s="8"/>
      <c r="E13" s="8">
        <v>41.803459743784359</v>
      </c>
      <c r="F13" s="8"/>
      <c r="G13" s="8"/>
      <c r="H13" s="8"/>
      <c r="I13" s="8" t="s">
        <v>58</v>
      </c>
      <c r="J13" s="8">
        <v>1849.2019999999995</v>
      </c>
      <c r="K13" s="8">
        <v>0</v>
      </c>
      <c r="L13" s="8">
        <v>42.98</v>
      </c>
      <c r="M13" s="8">
        <v>84.760000000000019</v>
      </c>
      <c r="N13" s="8"/>
      <c r="O13" s="8"/>
      <c r="P13" s="8"/>
      <c r="Q13" s="8"/>
      <c r="R13" s="8"/>
      <c r="S13" s="8"/>
      <c r="T13" s="13"/>
      <c r="U13" s="4" t="s">
        <v>59</v>
      </c>
    </row>
    <row r="14" spans="1:26" s="14" customFormat="1" x14ac:dyDescent="0.25">
      <c r="A14" s="118"/>
      <c r="B14" s="6" t="s">
        <v>164</v>
      </c>
      <c r="C14" s="7" t="s">
        <v>165</v>
      </c>
      <c r="D14" s="8"/>
      <c r="E14" s="8">
        <v>45.760165810068472</v>
      </c>
      <c r="F14" s="8"/>
      <c r="G14" s="8"/>
      <c r="H14" s="8"/>
      <c r="I14" s="8" t="s">
        <v>58</v>
      </c>
      <c r="J14" s="8">
        <v>2452.5190000000011</v>
      </c>
      <c r="K14" s="8">
        <v>0</v>
      </c>
      <c r="L14" s="8">
        <v>0</v>
      </c>
      <c r="M14" s="8">
        <v>420.37000000000012</v>
      </c>
      <c r="N14" s="8"/>
      <c r="O14" s="8"/>
      <c r="P14" s="8"/>
      <c r="Q14" s="8"/>
      <c r="R14" s="8"/>
      <c r="S14" s="8"/>
      <c r="T14" s="13"/>
      <c r="U14" s="4" t="s">
        <v>59</v>
      </c>
    </row>
    <row r="15" spans="1:26" s="14" customFormat="1" x14ac:dyDescent="0.25">
      <c r="A15" s="118"/>
      <c r="B15" s="6" t="s">
        <v>166</v>
      </c>
      <c r="C15" s="7" t="s">
        <v>167</v>
      </c>
      <c r="D15" s="8"/>
      <c r="E15" s="8">
        <v>58.662468200125375</v>
      </c>
      <c r="F15" s="8"/>
      <c r="G15" s="8"/>
      <c r="H15" s="8"/>
      <c r="I15" s="8" t="s">
        <v>58</v>
      </c>
      <c r="J15" s="8">
        <v>7436.881999999996</v>
      </c>
      <c r="K15" s="8">
        <v>0</v>
      </c>
      <c r="L15" s="8">
        <v>293.10000000000002</v>
      </c>
      <c r="M15" s="8">
        <v>0</v>
      </c>
      <c r="N15" s="8"/>
      <c r="O15" s="8"/>
      <c r="P15" s="8"/>
      <c r="Q15" s="8"/>
      <c r="R15" s="8"/>
      <c r="S15" s="8"/>
      <c r="T15" s="13">
        <f t="shared" ref="T15:T16" si="3">S15+R15+Q15+P15+O15+N15</f>
        <v>0</v>
      </c>
      <c r="U15" s="4" t="s">
        <v>59</v>
      </c>
    </row>
    <row r="16" spans="1:26" s="14" customFormat="1" x14ac:dyDescent="0.25">
      <c r="A16" s="118"/>
      <c r="B16" s="6" t="s">
        <v>60</v>
      </c>
      <c r="C16" s="7" t="s">
        <v>61</v>
      </c>
      <c r="D16" s="8"/>
      <c r="E16" s="8">
        <v>557.55149394899217</v>
      </c>
      <c r="F16" s="8">
        <v>152.4191989012055</v>
      </c>
      <c r="G16" s="8"/>
      <c r="H16" s="8"/>
      <c r="I16" s="11">
        <f>J16+K16-H16-G16-F16-E16-D16</f>
        <v>-688.69069285019771</v>
      </c>
      <c r="J16" s="8">
        <v>21.28</v>
      </c>
      <c r="K16" s="8">
        <v>0</v>
      </c>
      <c r="L16" s="8">
        <v>284.73</v>
      </c>
      <c r="M16" s="8">
        <v>449.29999999999984</v>
      </c>
      <c r="N16" s="8"/>
      <c r="O16" s="8"/>
      <c r="P16" s="8"/>
      <c r="Q16" s="8"/>
      <c r="R16" s="8">
        <v>476.5</v>
      </c>
      <c r="S16" s="8"/>
      <c r="T16" s="13">
        <f t="shared" si="3"/>
        <v>476.5</v>
      </c>
      <c r="U16" s="24" t="s">
        <v>73</v>
      </c>
    </row>
    <row r="17" spans="1:26" s="14" customFormat="1" x14ac:dyDescent="0.25">
      <c r="A17" s="119"/>
      <c r="B17" s="6" t="s">
        <v>184</v>
      </c>
      <c r="C17" s="7" t="s">
        <v>185</v>
      </c>
      <c r="D17" s="8"/>
      <c r="E17" s="8"/>
      <c r="F17" s="8">
        <v>147.43030864371684</v>
      </c>
      <c r="G17" s="8"/>
      <c r="H17" s="8"/>
      <c r="I17" s="8" t="s">
        <v>58</v>
      </c>
      <c r="J17" s="8">
        <v>204.35</v>
      </c>
      <c r="K17" s="8">
        <v>0</v>
      </c>
      <c r="L17" s="8">
        <v>0</v>
      </c>
      <c r="M17" s="8">
        <v>0</v>
      </c>
      <c r="N17" s="8"/>
      <c r="O17" s="8"/>
      <c r="P17" s="8"/>
      <c r="Q17" s="8"/>
      <c r="R17" s="8"/>
      <c r="S17" s="8"/>
      <c r="T17" s="13">
        <f t="shared" ref="T17" si="4">S17+R17+Q17+P17+O17+N17</f>
        <v>0</v>
      </c>
      <c r="U17" s="4" t="s">
        <v>59</v>
      </c>
    </row>
    <row r="18" spans="1:26" s="14" customFormat="1" ht="21" x14ac:dyDescent="0.2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32"/>
      <c r="V18" s="32"/>
      <c r="W18" s="32"/>
      <c r="X18" s="27"/>
      <c r="Y18" s="27"/>
      <c r="Z18" s="27"/>
    </row>
    <row r="19" spans="1:26" x14ac:dyDescent="0.25">
      <c r="A19" s="102" t="s">
        <v>18</v>
      </c>
      <c r="B19" s="102"/>
      <c r="C19" s="102" t="s">
        <v>30</v>
      </c>
      <c r="D19" s="94" t="s">
        <v>19</v>
      </c>
      <c r="E19" s="96"/>
      <c r="F19" s="85" t="s">
        <v>0</v>
      </c>
      <c r="G19" s="87" t="s">
        <v>1</v>
      </c>
      <c r="H19" s="88"/>
      <c r="I19" s="87" t="s">
        <v>2</v>
      </c>
      <c r="J19" s="88"/>
      <c r="K19" s="89" t="s">
        <v>3</v>
      </c>
      <c r="L19" s="90"/>
      <c r="M19" s="90"/>
      <c r="N19" s="90"/>
      <c r="O19" s="90"/>
      <c r="P19" s="91"/>
      <c r="Q19" s="92" t="s">
        <v>34</v>
      </c>
      <c r="R19" s="98" t="s">
        <v>35</v>
      </c>
      <c r="S19" s="25"/>
    </row>
    <row r="20" spans="1:26" x14ac:dyDescent="0.25">
      <c r="A20" s="44" t="s">
        <v>20</v>
      </c>
      <c r="B20" s="44" t="s">
        <v>21</v>
      </c>
      <c r="C20" s="102"/>
      <c r="D20" s="10">
        <v>46263</v>
      </c>
      <c r="E20" s="10">
        <v>46268</v>
      </c>
      <c r="F20" s="86"/>
      <c r="G20" s="48" t="s">
        <v>4</v>
      </c>
      <c r="H20" s="48" t="s">
        <v>5</v>
      </c>
      <c r="I20" s="48" t="s">
        <v>6</v>
      </c>
      <c r="J20" s="48" t="s">
        <v>7</v>
      </c>
      <c r="K20" s="49" t="s">
        <v>8</v>
      </c>
      <c r="L20" s="5" t="s">
        <v>9</v>
      </c>
      <c r="M20" s="5" t="s">
        <v>27</v>
      </c>
      <c r="N20" s="49" t="s">
        <v>10</v>
      </c>
      <c r="O20" s="49" t="s">
        <v>11</v>
      </c>
      <c r="P20" s="12" t="s">
        <v>95</v>
      </c>
      <c r="Q20" s="93"/>
      <c r="R20" s="98"/>
      <c r="S20" s="25"/>
    </row>
    <row r="21" spans="1:26" x14ac:dyDescent="0.25">
      <c r="A21" s="106" t="s">
        <v>25</v>
      </c>
      <c r="B21" s="6" t="s">
        <v>159</v>
      </c>
      <c r="C21" s="7" t="s">
        <v>33</v>
      </c>
      <c r="D21" s="8">
        <v>7640.982670402298</v>
      </c>
      <c r="E21" s="8">
        <v>4995.9596021667594</v>
      </c>
      <c r="F21" s="8" t="s">
        <v>58</v>
      </c>
      <c r="G21" s="8">
        <v>15049.136000000026</v>
      </c>
      <c r="H21" s="8">
        <v>8915.0500000000065</v>
      </c>
      <c r="I21" s="8">
        <v>1760.08</v>
      </c>
      <c r="J21" s="8">
        <v>3437.029999999997</v>
      </c>
      <c r="K21" s="13"/>
      <c r="L21" s="13">
        <v>15069.5</v>
      </c>
      <c r="M21" s="13"/>
      <c r="N21" s="13">
        <v>1647</v>
      </c>
      <c r="O21" s="13"/>
      <c r="P21" s="13"/>
      <c r="Q21" s="13">
        <f t="shared" ref="Q21:Q22" si="5">P21+O21+N21+M21+L21+K21</f>
        <v>16716.5</v>
      </c>
      <c r="R21" s="4" t="s">
        <v>59</v>
      </c>
      <c r="S21" s="25"/>
    </row>
    <row r="22" spans="1:26" x14ac:dyDescent="0.25">
      <c r="A22" s="107"/>
      <c r="B22" s="6" t="s">
        <v>100</v>
      </c>
      <c r="C22" s="7" t="s">
        <v>101</v>
      </c>
      <c r="D22" s="8">
        <v>49.599669218489176</v>
      </c>
      <c r="E22" s="8">
        <v>805.00702076733762</v>
      </c>
      <c r="F22" s="8" t="s">
        <v>58</v>
      </c>
      <c r="G22" s="8">
        <v>5315.2600000000029</v>
      </c>
      <c r="H22" s="8">
        <v>0</v>
      </c>
      <c r="I22" s="8">
        <v>2026.9699999999998</v>
      </c>
      <c r="J22" s="8">
        <v>0</v>
      </c>
      <c r="K22" s="13">
        <v>7172.5</v>
      </c>
      <c r="L22" s="13"/>
      <c r="M22" s="13"/>
      <c r="N22" s="13"/>
      <c r="O22" s="13"/>
      <c r="P22" s="13"/>
      <c r="Q22" s="13">
        <f t="shared" si="5"/>
        <v>7172.5</v>
      </c>
      <c r="R22" s="4" t="s">
        <v>59</v>
      </c>
      <c r="S22" s="25"/>
    </row>
    <row r="23" spans="1:26" x14ac:dyDescent="0.25">
      <c r="A23" s="107"/>
      <c r="B23" s="6" t="s">
        <v>102</v>
      </c>
      <c r="C23" s="7" t="s">
        <v>103</v>
      </c>
      <c r="D23" s="8">
        <v>2800.4061027784155</v>
      </c>
      <c r="E23" s="8">
        <v>2439.6014293483436</v>
      </c>
      <c r="F23" s="8" t="s">
        <v>58</v>
      </c>
      <c r="G23" s="8">
        <v>13063.190000000002</v>
      </c>
      <c r="H23" s="8">
        <v>1129.3699999999997</v>
      </c>
      <c r="I23" s="8">
        <v>25.02</v>
      </c>
      <c r="J23" s="8">
        <v>1094.2700000000004</v>
      </c>
      <c r="K23" s="13"/>
      <c r="L23" s="13"/>
      <c r="M23" s="13"/>
      <c r="N23" s="13">
        <v>3614.5</v>
      </c>
      <c r="O23" s="13"/>
      <c r="P23" s="13"/>
      <c r="Q23" s="13">
        <f>P23+O23+N23+M23+L23+K23</f>
        <v>3614.5</v>
      </c>
      <c r="R23" s="4" t="s">
        <v>59</v>
      </c>
      <c r="S23" s="25"/>
    </row>
    <row r="24" spans="1:26" x14ac:dyDescent="0.25">
      <c r="A24" s="107"/>
      <c r="B24" s="6" t="s">
        <v>104</v>
      </c>
      <c r="C24" s="7" t="s">
        <v>105</v>
      </c>
      <c r="D24" s="8">
        <v>3341.1741777976958</v>
      </c>
      <c r="E24" s="8">
        <v>1100.4103604491361</v>
      </c>
      <c r="F24" s="11">
        <f>G24+H24-D24-E24</f>
        <v>-3889.3145382468319</v>
      </c>
      <c r="G24" s="8">
        <v>552.2700000000001</v>
      </c>
      <c r="H24" s="8">
        <v>0</v>
      </c>
      <c r="I24" s="8">
        <v>3.54</v>
      </c>
      <c r="J24" s="8">
        <v>0</v>
      </c>
      <c r="K24" s="13"/>
      <c r="L24" s="13"/>
      <c r="M24" s="13"/>
      <c r="N24" s="13"/>
      <c r="O24" s="13">
        <v>3314.5</v>
      </c>
      <c r="P24" s="13"/>
      <c r="Q24" s="13">
        <f t="shared" ref="Q24:Q26" si="6">P24+O24+N24+M24+L24+K24</f>
        <v>3314.5</v>
      </c>
      <c r="R24" s="24" t="s">
        <v>73</v>
      </c>
      <c r="S24" s="25"/>
    </row>
    <row r="25" spans="1:26" x14ac:dyDescent="0.25">
      <c r="A25" s="107"/>
      <c r="B25" s="6" t="s">
        <v>69</v>
      </c>
      <c r="C25" s="7" t="s">
        <v>70</v>
      </c>
      <c r="D25" s="8">
        <v>2797.8997832099412</v>
      </c>
      <c r="E25" s="8">
        <v>571.49353382719391</v>
      </c>
      <c r="F25" s="11">
        <f t="shared" ref="F25:F26" si="7">G25+H25-D25-E25</f>
        <v>-3349.4733170371351</v>
      </c>
      <c r="G25" s="8">
        <v>19.920000000000002</v>
      </c>
      <c r="H25" s="8">
        <v>0</v>
      </c>
      <c r="I25" s="8">
        <v>15.58</v>
      </c>
      <c r="J25" s="8">
        <v>0</v>
      </c>
      <c r="K25" s="13"/>
      <c r="L25" s="13"/>
      <c r="M25" s="13"/>
      <c r="N25" s="13">
        <v>3018.5</v>
      </c>
      <c r="O25" s="13">
        <v>1496.5</v>
      </c>
      <c r="P25" s="13"/>
      <c r="Q25" s="13">
        <f t="shared" si="6"/>
        <v>4515</v>
      </c>
      <c r="R25" s="4" t="s">
        <v>193</v>
      </c>
      <c r="S25" s="25"/>
    </row>
    <row r="26" spans="1:26" x14ac:dyDescent="0.25">
      <c r="A26" s="107"/>
      <c r="B26" s="6" t="s">
        <v>145</v>
      </c>
      <c r="C26" s="7" t="s">
        <v>146</v>
      </c>
      <c r="D26" s="8">
        <v>2833.7651723412932</v>
      </c>
      <c r="E26" s="8">
        <v>380.5567540923019</v>
      </c>
      <c r="F26" s="11">
        <f t="shared" si="7"/>
        <v>-2443.8119264335951</v>
      </c>
      <c r="G26" s="8">
        <v>770.5100000000001</v>
      </c>
      <c r="H26" s="8">
        <v>0</v>
      </c>
      <c r="I26" s="8">
        <v>0</v>
      </c>
      <c r="J26" s="8">
        <v>0</v>
      </c>
      <c r="K26" s="13"/>
      <c r="L26" s="13"/>
      <c r="M26" s="13"/>
      <c r="N26" s="13">
        <v>2984.5</v>
      </c>
      <c r="O26" s="13"/>
      <c r="P26" s="13"/>
      <c r="Q26" s="13">
        <f t="shared" si="6"/>
        <v>2984.5</v>
      </c>
      <c r="R26" s="4" t="s">
        <v>192</v>
      </c>
      <c r="S26" s="25"/>
    </row>
    <row r="27" spans="1:26" s="14" customFormat="1" ht="21" x14ac:dyDescent="0.25">
      <c r="A27" s="50"/>
      <c r="B27" s="50"/>
      <c r="C27" s="47"/>
      <c r="D27" s="50"/>
      <c r="E27" s="50"/>
      <c r="F27" s="50"/>
      <c r="G27" s="50"/>
      <c r="H27" s="47"/>
      <c r="I27" s="50"/>
      <c r="J27" s="50"/>
      <c r="K27" s="50"/>
      <c r="L27" s="50"/>
      <c r="M27" s="50"/>
      <c r="N27" s="50"/>
      <c r="O27" s="50"/>
      <c r="P27" s="50"/>
      <c r="Q27" s="50"/>
      <c r="R27" s="46"/>
      <c r="S27" s="32"/>
      <c r="T27" s="32"/>
      <c r="U27" s="32"/>
      <c r="V27" s="32"/>
      <c r="W27" s="32"/>
      <c r="X27" s="27"/>
      <c r="Y27" s="27"/>
      <c r="Z27" s="27"/>
    </row>
    <row r="28" spans="1:26" s="14" customFormat="1" x14ac:dyDescent="0.25">
      <c r="A28" s="81" t="s">
        <v>18</v>
      </c>
      <c r="B28" s="82"/>
      <c r="C28" s="83" t="s">
        <v>30</v>
      </c>
      <c r="D28" s="94" t="s">
        <v>19</v>
      </c>
      <c r="E28" s="95"/>
      <c r="F28" s="95"/>
      <c r="G28" s="95"/>
      <c r="H28" s="96"/>
      <c r="I28" s="85" t="s">
        <v>0</v>
      </c>
      <c r="J28" s="87" t="s">
        <v>1</v>
      </c>
      <c r="K28" s="88"/>
      <c r="L28" s="87" t="s">
        <v>2</v>
      </c>
      <c r="M28" s="88"/>
      <c r="N28" s="89" t="s">
        <v>3</v>
      </c>
      <c r="O28" s="90"/>
      <c r="P28" s="90"/>
      <c r="Q28" s="90"/>
      <c r="R28" s="90"/>
      <c r="S28" s="91"/>
      <c r="T28" s="92" t="s">
        <v>34</v>
      </c>
      <c r="U28" s="98" t="s">
        <v>35</v>
      </c>
      <c r="V28" s="26"/>
      <c r="W28" s="26"/>
    </row>
    <row r="29" spans="1:26" s="14" customFormat="1" x14ac:dyDescent="0.25">
      <c r="A29" s="44" t="s">
        <v>20</v>
      </c>
      <c r="B29" s="44" t="s">
        <v>21</v>
      </c>
      <c r="C29" s="84"/>
      <c r="D29" s="10">
        <v>46260</v>
      </c>
      <c r="E29" s="10">
        <v>46261</v>
      </c>
      <c r="F29" s="10">
        <v>46263</v>
      </c>
      <c r="G29" s="10">
        <v>46268</v>
      </c>
      <c r="H29" s="10">
        <v>46269</v>
      </c>
      <c r="I29" s="86"/>
      <c r="J29" s="48" t="s">
        <v>4</v>
      </c>
      <c r="K29" s="48" t="s">
        <v>5</v>
      </c>
      <c r="L29" s="48" t="s">
        <v>6</v>
      </c>
      <c r="M29" s="48" t="s">
        <v>7</v>
      </c>
      <c r="N29" s="49" t="s">
        <v>8</v>
      </c>
      <c r="O29" s="5" t="s">
        <v>9</v>
      </c>
      <c r="P29" s="5" t="s">
        <v>27</v>
      </c>
      <c r="Q29" s="49" t="s">
        <v>10</v>
      </c>
      <c r="R29" s="49" t="s">
        <v>11</v>
      </c>
      <c r="S29" s="12" t="s">
        <v>95</v>
      </c>
      <c r="T29" s="93"/>
      <c r="U29" s="98"/>
      <c r="V29" s="26"/>
      <c r="W29" s="26"/>
    </row>
    <row r="30" spans="1:26" s="14" customFormat="1" x14ac:dyDescent="0.25">
      <c r="A30" s="99" t="s">
        <v>62</v>
      </c>
      <c r="B30" s="6" t="s">
        <v>63</v>
      </c>
      <c r="C30" s="7" t="s">
        <v>64</v>
      </c>
      <c r="D30" s="8"/>
      <c r="E30" s="8"/>
      <c r="F30" s="8">
        <v>333.5224169082735</v>
      </c>
      <c r="G30" s="8">
        <v>560.4977400010805</v>
      </c>
      <c r="H30" s="8"/>
      <c r="I30" s="11">
        <f>J30+K30-H30-G30-F30-E30-D30</f>
        <v>-444.85015690935415</v>
      </c>
      <c r="J30" s="8">
        <v>449.16999999999985</v>
      </c>
      <c r="K30" s="8">
        <v>0</v>
      </c>
      <c r="L30" s="8">
        <v>19.14</v>
      </c>
      <c r="M30" s="8">
        <v>0</v>
      </c>
      <c r="N30" s="13"/>
      <c r="O30" s="13"/>
      <c r="P30" s="13"/>
      <c r="Q30" s="13"/>
      <c r="R30" s="13"/>
      <c r="S30" s="13"/>
      <c r="T30" s="13">
        <f t="shared" ref="T30:T48" si="8">S30+R30+Q30+P30+O30+N30</f>
        <v>0</v>
      </c>
      <c r="U30" s="24" t="s">
        <v>73</v>
      </c>
      <c r="V30" s="26"/>
      <c r="W30" s="26"/>
    </row>
    <row r="31" spans="1:26" s="14" customFormat="1" x14ac:dyDescent="0.25">
      <c r="A31" s="100"/>
      <c r="B31" s="6" t="s">
        <v>65</v>
      </c>
      <c r="C31" s="7" t="s">
        <v>66</v>
      </c>
      <c r="D31" s="8"/>
      <c r="E31" s="8">
        <v>3978.0708072968255</v>
      </c>
      <c r="F31" s="8">
        <v>405.74183789234843</v>
      </c>
      <c r="G31" s="8">
        <v>346.65322072355985</v>
      </c>
      <c r="H31" s="8"/>
      <c r="I31" s="8" t="s">
        <v>58</v>
      </c>
      <c r="J31" s="8">
        <v>12413.565999999984</v>
      </c>
      <c r="K31" s="8">
        <v>8274.6799999999985</v>
      </c>
      <c r="L31" s="8">
        <v>452.61</v>
      </c>
      <c r="M31" s="8">
        <v>0</v>
      </c>
      <c r="N31" s="13"/>
      <c r="O31" s="13"/>
      <c r="P31" s="13"/>
      <c r="Q31" s="13"/>
      <c r="R31" s="13"/>
      <c r="S31" s="13">
        <v>1369</v>
      </c>
      <c r="T31" s="13">
        <f t="shared" si="8"/>
        <v>1369</v>
      </c>
      <c r="U31" s="4" t="s">
        <v>59</v>
      </c>
      <c r="V31" s="26"/>
      <c r="W31" s="26"/>
    </row>
    <row r="32" spans="1:26" s="14" customFormat="1" x14ac:dyDescent="0.25">
      <c r="A32" s="100"/>
      <c r="B32" s="6" t="s">
        <v>67</v>
      </c>
      <c r="C32" s="7" t="s">
        <v>68</v>
      </c>
      <c r="D32" s="8"/>
      <c r="E32" s="8">
        <v>869.70003241432687</v>
      </c>
      <c r="F32" s="8">
        <v>743.39107885685485</v>
      </c>
      <c r="G32" s="8">
        <v>1655.606778195963</v>
      </c>
      <c r="H32" s="8">
        <v>2903.9710552064012</v>
      </c>
      <c r="I32" s="8" t="s">
        <v>58</v>
      </c>
      <c r="J32" s="8">
        <v>10248.04000000001</v>
      </c>
      <c r="K32" s="8">
        <v>4757.7500000000009</v>
      </c>
      <c r="L32" s="8">
        <v>0</v>
      </c>
      <c r="M32" s="8">
        <v>18.239999999999998</v>
      </c>
      <c r="N32" s="13"/>
      <c r="O32" s="13">
        <v>1485</v>
      </c>
      <c r="P32" s="13"/>
      <c r="Q32" s="13">
        <v>11873.5</v>
      </c>
      <c r="R32" s="13">
        <v>4581.5</v>
      </c>
      <c r="S32" s="13"/>
      <c r="T32" s="13">
        <f>S32+R32+Q32+P32+O32+N32</f>
        <v>17940</v>
      </c>
      <c r="U32" s="4" t="s">
        <v>59</v>
      </c>
      <c r="V32" s="26"/>
      <c r="W32" s="26"/>
    </row>
    <row r="33" spans="1:23" s="14" customFormat="1" x14ac:dyDescent="0.25">
      <c r="A33" s="100"/>
      <c r="B33" s="6" t="s">
        <v>41</v>
      </c>
      <c r="C33" s="7" t="s">
        <v>42</v>
      </c>
      <c r="D33" s="8"/>
      <c r="E33" s="8"/>
      <c r="F33" s="8"/>
      <c r="G33" s="8">
        <v>743.95382759179563</v>
      </c>
      <c r="H33" s="8">
        <v>2960.4335116121329</v>
      </c>
      <c r="I33" s="8" t="s">
        <v>58</v>
      </c>
      <c r="J33" s="8">
        <v>4458.5499999999993</v>
      </c>
      <c r="K33" s="8">
        <v>0</v>
      </c>
      <c r="L33" s="8">
        <v>0</v>
      </c>
      <c r="M33" s="8">
        <v>0</v>
      </c>
      <c r="N33" s="13">
        <v>2684</v>
      </c>
      <c r="O33" s="13">
        <v>2208.85</v>
      </c>
      <c r="P33" s="13"/>
      <c r="Q33" s="13"/>
      <c r="R33" s="13"/>
      <c r="S33" s="13"/>
      <c r="T33" s="13">
        <f t="shared" si="8"/>
        <v>4892.8500000000004</v>
      </c>
      <c r="U33" s="4" t="s">
        <v>59</v>
      </c>
      <c r="V33" s="26"/>
      <c r="W33" s="26"/>
    </row>
    <row r="34" spans="1:23" s="14" customFormat="1" x14ac:dyDescent="0.25">
      <c r="A34" s="100"/>
      <c r="B34" s="6" t="s">
        <v>51</v>
      </c>
      <c r="C34" s="7" t="s">
        <v>52</v>
      </c>
      <c r="D34" s="8"/>
      <c r="E34" s="8">
        <v>3751.6582329389594</v>
      </c>
      <c r="F34" s="8">
        <v>1672.1140744208942</v>
      </c>
      <c r="G34" s="8">
        <v>3897.9729040235784</v>
      </c>
      <c r="H34" s="8"/>
      <c r="I34" s="8" t="s">
        <v>58</v>
      </c>
      <c r="J34" s="8">
        <v>7102.7199999999984</v>
      </c>
      <c r="K34" s="8">
        <v>8021.2699999999913</v>
      </c>
      <c r="L34" s="8">
        <v>1698.2400000000002</v>
      </c>
      <c r="M34" s="8">
        <v>3239.3999999999974</v>
      </c>
      <c r="N34" s="13">
        <v>1494</v>
      </c>
      <c r="O34" s="13">
        <v>3319.0860000000002</v>
      </c>
      <c r="P34" s="13"/>
      <c r="Q34" s="13">
        <v>14326.358</v>
      </c>
      <c r="R34" s="13">
        <v>1481</v>
      </c>
      <c r="S34" s="13"/>
      <c r="T34" s="13">
        <f t="shared" si="8"/>
        <v>20620.444</v>
      </c>
      <c r="U34" s="4" t="s">
        <v>59</v>
      </c>
      <c r="V34" s="26"/>
      <c r="W34" s="26"/>
    </row>
    <row r="35" spans="1:23" s="14" customFormat="1" x14ac:dyDescent="0.25">
      <c r="A35" s="100"/>
      <c r="B35" s="6" t="s">
        <v>29</v>
      </c>
      <c r="C35" s="7" t="s">
        <v>31</v>
      </c>
      <c r="D35" s="8"/>
      <c r="E35" s="8"/>
      <c r="F35" s="8">
        <v>211.59352433775729</v>
      </c>
      <c r="G35" s="8">
        <v>36.015919036214008</v>
      </c>
      <c r="H35" s="8"/>
      <c r="I35" s="8" t="s">
        <v>58</v>
      </c>
      <c r="J35" s="8">
        <v>3546.9199999999973</v>
      </c>
      <c r="K35" s="8">
        <v>0</v>
      </c>
      <c r="L35" s="8">
        <v>0</v>
      </c>
      <c r="M35" s="8">
        <v>266.85999999999996</v>
      </c>
      <c r="N35" s="13"/>
      <c r="O35" s="13"/>
      <c r="P35" s="13"/>
      <c r="Q35" s="13"/>
      <c r="R35" s="13"/>
      <c r="S35" s="13"/>
      <c r="T35" s="13">
        <f t="shared" si="8"/>
        <v>0</v>
      </c>
      <c r="U35" s="4" t="s">
        <v>59</v>
      </c>
      <c r="V35" s="26"/>
      <c r="W35" s="26"/>
    </row>
    <row r="36" spans="1:23" s="14" customFormat="1" x14ac:dyDescent="0.25">
      <c r="A36" s="100"/>
      <c r="B36" s="6" t="s">
        <v>136</v>
      </c>
      <c r="C36" s="7" t="s">
        <v>137</v>
      </c>
      <c r="D36" s="8"/>
      <c r="E36" s="8"/>
      <c r="F36" s="8">
        <v>49.334305763147313</v>
      </c>
      <c r="G36" s="8">
        <v>51.585300702910686</v>
      </c>
      <c r="H36" s="8"/>
      <c r="I36" s="8" t="s">
        <v>58</v>
      </c>
      <c r="J36" s="8">
        <v>509.69799999999998</v>
      </c>
      <c r="K36" s="8">
        <v>0</v>
      </c>
      <c r="L36" s="8">
        <v>0</v>
      </c>
      <c r="M36" s="8">
        <v>0</v>
      </c>
      <c r="N36" s="13"/>
      <c r="O36" s="13"/>
      <c r="P36" s="13"/>
      <c r="Q36" s="13"/>
      <c r="R36" s="13"/>
      <c r="S36" s="13"/>
      <c r="T36" s="13">
        <f t="shared" si="8"/>
        <v>0</v>
      </c>
      <c r="U36" s="4" t="s">
        <v>59</v>
      </c>
      <c r="V36" s="26"/>
      <c r="W36" s="26"/>
    </row>
    <row r="37" spans="1:23" s="14" customFormat="1" x14ac:dyDescent="0.25">
      <c r="A37" s="100"/>
      <c r="B37" s="6" t="s">
        <v>153</v>
      </c>
      <c r="C37" s="7" t="s">
        <v>154</v>
      </c>
      <c r="D37" s="8"/>
      <c r="E37" s="8"/>
      <c r="F37" s="8"/>
      <c r="G37" s="8">
        <v>418.30989297269394</v>
      </c>
      <c r="H37" s="8"/>
      <c r="I37" s="8" t="s">
        <v>58</v>
      </c>
      <c r="J37" s="8">
        <v>1726.4899999999993</v>
      </c>
      <c r="K37" s="8">
        <v>0</v>
      </c>
      <c r="L37" s="8">
        <v>0</v>
      </c>
      <c r="M37" s="8">
        <v>1219.6999999999998</v>
      </c>
      <c r="N37" s="13"/>
      <c r="O37" s="13"/>
      <c r="P37" s="13"/>
      <c r="Q37" s="13"/>
      <c r="R37" s="13"/>
      <c r="S37" s="13"/>
      <c r="T37" s="13">
        <f t="shared" ref="T37" si="9">S37+R37+Q37+P37+O37+N37</f>
        <v>0</v>
      </c>
      <c r="U37" s="4" t="s">
        <v>59</v>
      </c>
      <c r="V37" s="26"/>
      <c r="W37" s="26"/>
    </row>
    <row r="38" spans="1:23" s="14" customFormat="1" x14ac:dyDescent="0.25">
      <c r="A38" s="100"/>
      <c r="B38" s="6" t="s">
        <v>43</v>
      </c>
      <c r="C38" s="7" t="s">
        <v>44</v>
      </c>
      <c r="D38" s="8"/>
      <c r="E38" s="8">
        <v>281.37436747042193</v>
      </c>
      <c r="F38" s="8"/>
      <c r="G38" s="8">
        <v>181.01750973930478</v>
      </c>
      <c r="H38" s="8">
        <v>2960.4335116121329</v>
      </c>
      <c r="I38" s="8" t="s">
        <v>58</v>
      </c>
      <c r="J38" s="8">
        <v>8386.9500000000007</v>
      </c>
      <c r="K38" s="8">
        <v>150.98000000000002</v>
      </c>
      <c r="L38" s="8">
        <v>8.69</v>
      </c>
      <c r="M38" s="8">
        <v>0</v>
      </c>
      <c r="N38" s="13"/>
      <c r="O38" s="13"/>
      <c r="P38" s="13"/>
      <c r="Q38" s="13"/>
      <c r="R38" s="13"/>
      <c r="S38" s="13"/>
      <c r="T38" s="13">
        <f t="shared" si="8"/>
        <v>0</v>
      </c>
      <c r="U38" s="4" t="s">
        <v>59</v>
      </c>
      <c r="V38" s="26"/>
      <c r="W38" s="26"/>
    </row>
    <row r="39" spans="1:23" s="14" customFormat="1" x14ac:dyDescent="0.25">
      <c r="A39" s="100"/>
      <c r="B39" s="6" t="s">
        <v>26</v>
      </c>
      <c r="C39" s="7" t="s">
        <v>32</v>
      </c>
      <c r="D39" s="8"/>
      <c r="E39" s="8">
        <v>356.40753212920112</v>
      </c>
      <c r="F39" s="8"/>
      <c r="G39" s="8">
        <v>336.14857767133071</v>
      </c>
      <c r="H39" s="8">
        <v>2948.6157881783752</v>
      </c>
      <c r="I39" s="11">
        <f t="shared" ref="I39:I47" si="10">J39+K39-H39-G39-F39-E39-D39</f>
        <v>-343.83189797890867</v>
      </c>
      <c r="J39" s="8">
        <v>3297.3399999999983</v>
      </c>
      <c r="K39" s="8">
        <v>0</v>
      </c>
      <c r="L39" s="8">
        <v>2458.3100000000004</v>
      </c>
      <c r="M39" s="8">
        <v>0</v>
      </c>
      <c r="N39" s="13"/>
      <c r="O39" s="13"/>
      <c r="P39" s="13"/>
      <c r="Q39" s="13"/>
      <c r="R39" s="13"/>
      <c r="S39" s="13"/>
      <c r="T39" s="13">
        <f t="shared" si="8"/>
        <v>0</v>
      </c>
      <c r="U39" s="4" t="s">
        <v>141</v>
      </c>
      <c r="V39" s="26"/>
      <c r="W39" s="26"/>
    </row>
    <row r="40" spans="1:23" s="14" customFormat="1" x14ac:dyDescent="0.25">
      <c r="A40" s="100"/>
      <c r="B40" s="6" t="s">
        <v>53</v>
      </c>
      <c r="C40" s="7" t="s">
        <v>54</v>
      </c>
      <c r="D40" s="8"/>
      <c r="E40" s="8">
        <v>1439.5112639786787</v>
      </c>
      <c r="F40" s="8"/>
      <c r="G40" s="8">
        <v>184.2064192373029</v>
      </c>
      <c r="H40" s="8"/>
      <c r="I40" s="8" t="s">
        <v>58</v>
      </c>
      <c r="J40" s="8">
        <v>2491.4199999999987</v>
      </c>
      <c r="K40" s="8">
        <v>0</v>
      </c>
      <c r="L40" s="8">
        <v>0</v>
      </c>
      <c r="M40" s="8">
        <v>0</v>
      </c>
      <c r="N40" s="13"/>
      <c r="O40" s="13"/>
      <c r="P40" s="13"/>
      <c r="Q40" s="13"/>
      <c r="R40" s="13"/>
      <c r="S40" s="13"/>
      <c r="T40" s="13">
        <f t="shared" si="8"/>
        <v>0</v>
      </c>
      <c r="U40" s="4" t="s">
        <v>59</v>
      </c>
      <c r="V40" s="26"/>
      <c r="W40" s="26"/>
    </row>
    <row r="41" spans="1:23" s="14" customFormat="1" x14ac:dyDescent="0.25">
      <c r="A41" s="100"/>
      <c r="B41" s="6" t="s">
        <v>155</v>
      </c>
      <c r="C41" s="7" t="s">
        <v>156</v>
      </c>
      <c r="D41" s="8"/>
      <c r="E41" s="8"/>
      <c r="F41" s="8"/>
      <c r="G41" s="8">
        <v>93.60387291182704</v>
      </c>
      <c r="H41" s="8"/>
      <c r="I41" s="8" t="s">
        <v>58</v>
      </c>
      <c r="J41" s="8">
        <v>1599.1600000000003</v>
      </c>
      <c r="K41" s="8">
        <v>588.59999999999991</v>
      </c>
      <c r="L41" s="8">
        <v>10.15</v>
      </c>
      <c r="M41" s="8">
        <v>0</v>
      </c>
      <c r="N41" s="13"/>
      <c r="O41" s="13"/>
      <c r="P41" s="13"/>
      <c r="Q41" s="13"/>
      <c r="R41" s="13"/>
      <c r="S41" s="13"/>
      <c r="T41" s="13">
        <f t="shared" ref="T41:T42" si="11">S41+R41+Q41+P41+O41+N41</f>
        <v>0</v>
      </c>
      <c r="U41" s="4" t="s">
        <v>59</v>
      </c>
      <c r="V41" s="26"/>
      <c r="W41" s="26"/>
    </row>
    <row r="42" spans="1:23" s="14" customFormat="1" x14ac:dyDescent="0.25">
      <c r="A42" s="100"/>
      <c r="B42" s="6" t="s">
        <v>157</v>
      </c>
      <c r="C42" s="7" t="s">
        <v>158</v>
      </c>
      <c r="D42" s="8"/>
      <c r="E42" s="8"/>
      <c r="F42" s="8"/>
      <c r="G42" s="8">
        <v>246.67152881573656</v>
      </c>
      <c r="H42" s="8"/>
      <c r="I42" s="8" t="s">
        <v>58</v>
      </c>
      <c r="J42" s="8">
        <v>2232.5500000000011</v>
      </c>
      <c r="K42" s="8">
        <v>0</v>
      </c>
      <c r="L42" s="8">
        <v>0</v>
      </c>
      <c r="M42" s="8">
        <v>5.48</v>
      </c>
      <c r="N42" s="13"/>
      <c r="O42" s="13"/>
      <c r="P42" s="13"/>
      <c r="Q42" s="13"/>
      <c r="R42" s="13"/>
      <c r="S42" s="13"/>
      <c r="T42" s="13">
        <f t="shared" si="11"/>
        <v>0</v>
      </c>
      <c r="U42" s="4" t="s">
        <v>59</v>
      </c>
      <c r="V42" s="26"/>
      <c r="W42" s="26"/>
    </row>
    <row r="43" spans="1:23" s="14" customFormat="1" x14ac:dyDescent="0.25">
      <c r="A43" s="100"/>
      <c r="B43" s="6" t="s">
        <v>36</v>
      </c>
      <c r="C43" s="7" t="s">
        <v>37</v>
      </c>
      <c r="D43" s="8"/>
      <c r="E43" s="8">
        <v>121.92889257051617</v>
      </c>
      <c r="F43" s="8">
        <v>112.54974698816878</v>
      </c>
      <c r="G43" s="8">
        <v>801.35419855576174</v>
      </c>
      <c r="H43" s="8"/>
      <c r="I43" s="8" t="s">
        <v>58</v>
      </c>
      <c r="J43" s="8">
        <v>18827.310000000041</v>
      </c>
      <c r="K43" s="8">
        <v>0</v>
      </c>
      <c r="L43" s="8">
        <v>0</v>
      </c>
      <c r="M43" s="8">
        <v>0</v>
      </c>
      <c r="N43" s="13"/>
      <c r="O43" s="13"/>
      <c r="P43" s="13"/>
      <c r="Q43" s="13"/>
      <c r="R43" s="13"/>
      <c r="S43" s="13"/>
      <c r="T43" s="13">
        <f t="shared" si="8"/>
        <v>0</v>
      </c>
      <c r="U43" s="4" t="s">
        <v>59</v>
      </c>
      <c r="V43" s="26"/>
      <c r="W43" s="26"/>
    </row>
    <row r="44" spans="1:23" s="14" customFormat="1" x14ac:dyDescent="0.25">
      <c r="A44" s="100"/>
      <c r="B44" s="6" t="s">
        <v>45</v>
      </c>
      <c r="C44" s="7" t="s">
        <v>46</v>
      </c>
      <c r="D44" s="8"/>
      <c r="E44" s="8">
        <v>393.92411445859074</v>
      </c>
      <c r="F44" s="8"/>
      <c r="G44" s="8">
        <v>149.31599767097057</v>
      </c>
      <c r="H44" s="8">
        <v>2959.4955970538981</v>
      </c>
      <c r="I44" s="11">
        <f t="shared" si="10"/>
        <v>-1468.8557091834593</v>
      </c>
      <c r="J44" s="8">
        <v>2013.94</v>
      </c>
      <c r="K44" s="8">
        <v>19.940000000000001</v>
      </c>
      <c r="L44" s="8">
        <v>2359.429999999998</v>
      </c>
      <c r="M44" s="8">
        <v>0</v>
      </c>
      <c r="N44" s="13">
        <v>1342.5</v>
      </c>
      <c r="O44" s="13"/>
      <c r="P44" s="13"/>
      <c r="Q44" s="13"/>
      <c r="R44" s="13"/>
      <c r="S44" s="13"/>
      <c r="T44" s="13">
        <f t="shared" si="8"/>
        <v>1342.5</v>
      </c>
      <c r="U44" s="4" t="s">
        <v>141</v>
      </c>
      <c r="V44" s="26"/>
      <c r="W44" s="26"/>
    </row>
    <row r="45" spans="1:23" s="14" customFormat="1" x14ac:dyDescent="0.25">
      <c r="A45" s="100"/>
      <c r="B45" s="6" t="s">
        <v>138</v>
      </c>
      <c r="C45" s="7" t="s">
        <v>139</v>
      </c>
      <c r="D45" s="8">
        <v>1001.1656402129743</v>
      </c>
      <c r="E45" s="8"/>
      <c r="F45" s="8"/>
      <c r="G45" s="8"/>
      <c r="H45" s="8"/>
      <c r="I45" s="11">
        <f t="shared" si="10"/>
        <v>-1001.1656402129743</v>
      </c>
      <c r="J45" s="8"/>
      <c r="K45" s="8"/>
      <c r="L45" s="8"/>
      <c r="M45" s="8"/>
      <c r="N45" s="13"/>
      <c r="O45" s="13">
        <v>1365</v>
      </c>
      <c r="P45" s="13"/>
      <c r="Q45" s="13"/>
      <c r="R45" s="13"/>
      <c r="S45" s="13"/>
      <c r="T45" s="13">
        <f t="shared" si="8"/>
        <v>1365</v>
      </c>
      <c r="U45" s="4" t="s">
        <v>171</v>
      </c>
      <c r="V45" s="26"/>
      <c r="W45" s="26"/>
    </row>
    <row r="46" spans="1:23" s="14" customFormat="1" x14ac:dyDescent="0.25">
      <c r="A46" s="100"/>
      <c r="B46" s="6" t="s">
        <v>38</v>
      </c>
      <c r="C46" s="7" t="s">
        <v>39</v>
      </c>
      <c r="D46" s="8"/>
      <c r="E46" s="8"/>
      <c r="F46" s="8">
        <v>29.45051712857083</v>
      </c>
      <c r="G46" s="8">
        <v>73.344918453956666</v>
      </c>
      <c r="H46" s="8"/>
      <c r="I46" s="8" t="s">
        <v>58</v>
      </c>
      <c r="J46" s="8">
        <v>768.72000000000014</v>
      </c>
      <c r="K46" s="8">
        <v>0</v>
      </c>
      <c r="L46" s="8">
        <v>0</v>
      </c>
      <c r="M46" s="8">
        <v>0</v>
      </c>
      <c r="N46" s="13"/>
      <c r="O46" s="13"/>
      <c r="P46" s="13"/>
      <c r="Q46" s="13"/>
      <c r="R46" s="13"/>
      <c r="S46" s="13"/>
      <c r="T46" s="13">
        <f t="shared" si="8"/>
        <v>0</v>
      </c>
      <c r="U46" s="4" t="s">
        <v>59</v>
      </c>
      <c r="V46" s="26"/>
      <c r="W46" s="26"/>
    </row>
    <row r="47" spans="1:23" s="14" customFormat="1" x14ac:dyDescent="0.25">
      <c r="A47" s="100"/>
      <c r="B47" s="6" t="s">
        <v>47</v>
      </c>
      <c r="C47" s="7" t="s">
        <v>48</v>
      </c>
      <c r="D47" s="8"/>
      <c r="E47" s="8">
        <v>468.95727911736992</v>
      </c>
      <c r="F47" s="8"/>
      <c r="G47" s="8">
        <v>58.525868433847762</v>
      </c>
      <c r="H47" s="8">
        <v>2947.6778736201404</v>
      </c>
      <c r="I47" s="11">
        <f t="shared" si="10"/>
        <v>-2958.1110211713585</v>
      </c>
      <c r="J47" s="8">
        <v>517.04999999999984</v>
      </c>
      <c r="K47" s="8">
        <v>0</v>
      </c>
      <c r="L47" s="8">
        <v>1998.08</v>
      </c>
      <c r="M47" s="8">
        <v>0</v>
      </c>
      <c r="N47" s="13">
        <v>2671</v>
      </c>
      <c r="O47" s="13"/>
      <c r="P47" s="13"/>
      <c r="Q47" s="13"/>
      <c r="R47" s="13"/>
      <c r="S47" s="13"/>
      <c r="T47" s="13">
        <f t="shared" si="8"/>
        <v>2671</v>
      </c>
      <c r="U47" s="4" t="s">
        <v>171</v>
      </c>
      <c r="V47" s="26"/>
      <c r="W47" s="26"/>
    </row>
    <row r="48" spans="1:23" s="14" customFormat="1" x14ac:dyDescent="0.25">
      <c r="A48" s="101"/>
      <c r="B48" s="6" t="s">
        <v>49</v>
      </c>
      <c r="C48" s="7" t="s">
        <v>50</v>
      </c>
      <c r="D48" s="8"/>
      <c r="E48" s="8">
        <v>300.13265863511674</v>
      </c>
      <c r="F48" s="8"/>
      <c r="G48" s="8">
        <v>200.33854963894044</v>
      </c>
      <c r="H48" s="8">
        <v>2959.4955970538981</v>
      </c>
      <c r="I48" s="11">
        <f>J48+K48-H48-G48-F48-E48-D48</f>
        <v>-381.35680532795652</v>
      </c>
      <c r="J48" s="8">
        <v>3078.6099999999988</v>
      </c>
      <c r="K48" s="8">
        <v>0</v>
      </c>
      <c r="L48" s="8">
        <v>0</v>
      </c>
      <c r="M48" s="8">
        <v>1163.9299999999998</v>
      </c>
      <c r="N48" s="13"/>
      <c r="O48" s="13">
        <v>1326</v>
      </c>
      <c r="P48" s="13"/>
      <c r="Q48" s="13"/>
      <c r="R48" s="13"/>
      <c r="S48" s="13"/>
      <c r="T48" s="13">
        <f t="shared" si="8"/>
        <v>1326</v>
      </c>
      <c r="U48" s="4" t="s">
        <v>135</v>
      </c>
      <c r="V48" s="26"/>
      <c r="W48" s="26"/>
    </row>
    <row r="49" spans="1:20" ht="26.25" customHeight="1" x14ac:dyDescent="0.25">
      <c r="A49" s="111" t="s">
        <v>183</v>
      </c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1"/>
      <c r="S49" s="112"/>
      <c r="T49" s="112"/>
    </row>
    <row r="50" spans="1:20" x14ac:dyDescent="0.25">
      <c r="A50" s="102" t="s">
        <v>18</v>
      </c>
      <c r="B50" s="102"/>
      <c r="C50" s="102" t="s">
        <v>30</v>
      </c>
      <c r="D50" s="94" t="s">
        <v>19</v>
      </c>
      <c r="E50" s="95"/>
      <c r="F50" s="95"/>
      <c r="G50" s="96"/>
      <c r="H50" s="98" t="s">
        <v>0</v>
      </c>
      <c r="I50" s="97" t="s">
        <v>1</v>
      </c>
      <c r="J50" s="97"/>
      <c r="K50" s="97" t="s">
        <v>2</v>
      </c>
      <c r="L50" s="97"/>
      <c r="M50" s="115" t="s">
        <v>3</v>
      </c>
      <c r="N50" s="115"/>
      <c r="O50" s="115"/>
      <c r="P50" s="115"/>
      <c r="Q50" s="115"/>
      <c r="R50" s="115"/>
      <c r="S50" s="116" t="s">
        <v>34</v>
      </c>
      <c r="T50" s="98" t="s">
        <v>35</v>
      </c>
    </row>
    <row r="51" spans="1:20" x14ac:dyDescent="0.25">
      <c r="A51" s="44" t="s">
        <v>20</v>
      </c>
      <c r="B51" s="44" t="s">
        <v>21</v>
      </c>
      <c r="C51" s="102"/>
      <c r="D51" s="10">
        <v>46259</v>
      </c>
      <c r="E51" s="10">
        <v>46269</v>
      </c>
      <c r="F51" s="10">
        <v>46275</v>
      </c>
      <c r="G51" s="10">
        <v>46285</v>
      </c>
      <c r="H51" s="98"/>
      <c r="I51" s="48" t="s">
        <v>4</v>
      </c>
      <c r="J51" s="48" t="s">
        <v>5</v>
      </c>
      <c r="K51" s="48" t="s">
        <v>6</v>
      </c>
      <c r="L51" s="48" t="s">
        <v>7</v>
      </c>
      <c r="M51" s="49" t="s">
        <v>8</v>
      </c>
      <c r="N51" s="5" t="s">
        <v>9</v>
      </c>
      <c r="O51" s="5" t="s">
        <v>27</v>
      </c>
      <c r="P51" s="49" t="s">
        <v>10</v>
      </c>
      <c r="Q51" s="49" t="s">
        <v>11</v>
      </c>
      <c r="R51" s="12" t="s">
        <v>40</v>
      </c>
      <c r="S51" s="116"/>
      <c r="T51" s="98"/>
    </row>
    <row r="52" spans="1:20" x14ac:dyDescent="0.25">
      <c r="A52" s="117" t="s">
        <v>78</v>
      </c>
      <c r="B52" s="6" t="s">
        <v>79</v>
      </c>
      <c r="C52" s="7" t="s">
        <v>80</v>
      </c>
      <c r="D52" s="8">
        <v>1.8384228538021801</v>
      </c>
      <c r="E52" s="8">
        <v>2.7576342807032699</v>
      </c>
      <c r="F52" s="8">
        <v>25.967722809955792</v>
      </c>
      <c r="G52" s="8">
        <v>7.3536914152087203</v>
      </c>
      <c r="H52" s="8" t="s">
        <v>58</v>
      </c>
      <c r="I52" s="13">
        <v>171.19</v>
      </c>
      <c r="J52" s="13">
        <v>0</v>
      </c>
      <c r="K52" s="13">
        <v>0</v>
      </c>
      <c r="L52" s="13">
        <v>0</v>
      </c>
      <c r="M52" s="13"/>
      <c r="N52" s="13"/>
      <c r="O52" s="13"/>
      <c r="P52" s="13"/>
      <c r="Q52" s="13"/>
      <c r="R52" s="13"/>
      <c r="S52" s="13">
        <f t="shared" ref="S52:S54" si="12">Q52+P52+O52+N52+M52+R52</f>
        <v>0</v>
      </c>
      <c r="T52" s="4" t="s">
        <v>59</v>
      </c>
    </row>
    <row r="53" spans="1:20" x14ac:dyDescent="0.25">
      <c r="A53" s="118"/>
      <c r="B53" s="6" t="s">
        <v>90</v>
      </c>
      <c r="C53" s="7" t="s">
        <v>91</v>
      </c>
      <c r="D53" s="8"/>
      <c r="E53" s="8"/>
      <c r="F53" s="8">
        <v>10.11132569591199</v>
      </c>
      <c r="G53" s="8">
        <v>2.7576342807032699</v>
      </c>
      <c r="H53" s="11">
        <f>I53+J53-F53-E53-D53-G53</f>
        <v>-12.86895997661526</v>
      </c>
      <c r="I53" s="13"/>
      <c r="J53" s="13"/>
      <c r="K53" s="13"/>
      <c r="L53" s="13"/>
      <c r="M53" s="13"/>
      <c r="N53" s="13"/>
      <c r="O53" s="13"/>
      <c r="P53" s="13">
        <v>446.5</v>
      </c>
      <c r="Q53" s="13"/>
      <c r="R53" s="13"/>
      <c r="S53" s="13">
        <f t="shared" si="12"/>
        <v>446.5</v>
      </c>
      <c r="T53" s="4" t="s">
        <v>192</v>
      </c>
    </row>
    <row r="54" spans="1:20" x14ac:dyDescent="0.25">
      <c r="A54" s="119"/>
      <c r="B54" s="6" t="s">
        <v>81</v>
      </c>
      <c r="C54" s="7" t="s">
        <v>82</v>
      </c>
      <c r="D54" s="8">
        <v>1.6086199970769075</v>
      </c>
      <c r="E54" s="8">
        <v>44.122148491252318</v>
      </c>
      <c r="F54" s="8">
        <v>17.924622824571255</v>
      </c>
      <c r="G54" s="8">
        <v>7.3536914152087203</v>
      </c>
      <c r="H54" s="8" t="s">
        <v>58</v>
      </c>
      <c r="I54" s="13">
        <v>190.89999999999998</v>
      </c>
      <c r="J54" s="13">
        <v>0</v>
      </c>
      <c r="K54" s="13">
        <v>0</v>
      </c>
      <c r="L54" s="13">
        <v>0</v>
      </c>
      <c r="M54" s="13"/>
      <c r="N54" s="13">
        <v>237.5</v>
      </c>
      <c r="O54" s="13"/>
      <c r="P54" s="13"/>
      <c r="Q54" s="13"/>
      <c r="R54" s="13"/>
      <c r="S54" s="13">
        <f t="shared" si="12"/>
        <v>237.5</v>
      </c>
      <c r="T54" s="4" t="s">
        <v>59</v>
      </c>
    </row>
    <row r="56" spans="1:20" x14ac:dyDescent="0.25">
      <c r="A56" s="102" t="s">
        <v>18</v>
      </c>
      <c r="B56" s="102"/>
      <c r="C56" s="102" t="s">
        <v>30</v>
      </c>
      <c r="D56" s="94" t="s">
        <v>19</v>
      </c>
      <c r="E56" s="95"/>
      <c r="F56" s="95"/>
      <c r="G56" s="96"/>
      <c r="H56" s="98" t="s">
        <v>0</v>
      </c>
      <c r="I56" s="97" t="s">
        <v>1</v>
      </c>
      <c r="J56" s="97"/>
      <c r="K56" s="97" t="s">
        <v>2</v>
      </c>
      <c r="L56" s="97"/>
      <c r="M56" s="115" t="s">
        <v>3</v>
      </c>
      <c r="N56" s="115"/>
      <c r="O56" s="115"/>
      <c r="P56" s="115"/>
      <c r="Q56" s="115"/>
      <c r="R56" s="115"/>
      <c r="S56" s="116" t="s">
        <v>34</v>
      </c>
      <c r="T56" s="98" t="s">
        <v>35</v>
      </c>
    </row>
    <row r="57" spans="1:20" x14ac:dyDescent="0.25">
      <c r="A57" s="44" t="s">
        <v>20</v>
      </c>
      <c r="B57" s="44" t="s">
        <v>21</v>
      </c>
      <c r="C57" s="102"/>
      <c r="D57" s="10">
        <v>46262</v>
      </c>
      <c r="E57" s="10">
        <v>46275</v>
      </c>
      <c r="F57" s="10">
        <v>46285</v>
      </c>
      <c r="G57" s="10">
        <v>46288</v>
      </c>
      <c r="H57" s="98"/>
      <c r="I57" s="48" t="s">
        <v>4</v>
      </c>
      <c r="J57" s="48" t="s">
        <v>5</v>
      </c>
      <c r="K57" s="48" t="s">
        <v>6</v>
      </c>
      <c r="L57" s="48" t="s">
        <v>7</v>
      </c>
      <c r="M57" s="49" t="s">
        <v>8</v>
      </c>
      <c r="N57" s="5" t="s">
        <v>9</v>
      </c>
      <c r="O57" s="5" t="s">
        <v>27</v>
      </c>
      <c r="P57" s="49" t="s">
        <v>10</v>
      </c>
      <c r="Q57" s="49" t="s">
        <v>11</v>
      </c>
      <c r="R57" s="12" t="s">
        <v>40</v>
      </c>
      <c r="S57" s="116"/>
      <c r="T57" s="98"/>
    </row>
    <row r="58" spans="1:20" x14ac:dyDescent="0.25">
      <c r="A58" s="117" t="s">
        <v>77</v>
      </c>
      <c r="B58" s="6" t="s">
        <v>71</v>
      </c>
      <c r="C58" s="7" t="s">
        <v>72</v>
      </c>
      <c r="D58" s="8">
        <v>2948.2621114772687</v>
      </c>
      <c r="E58" s="8">
        <v>158.40242659622126</v>
      </c>
      <c r="F58" s="8">
        <v>896.27993936261942</v>
      </c>
      <c r="G58" s="8"/>
      <c r="H58" s="8" t="s">
        <v>58</v>
      </c>
      <c r="I58" s="13">
        <v>4285.7869999999994</v>
      </c>
      <c r="J58" s="13">
        <v>0</v>
      </c>
      <c r="K58" s="13">
        <v>1808.93</v>
      </c>
      <c r="L58" s="13">
        <v>622.19999999999982</v>
      </c>
      <c r="M58" s="13"/>
      <c r="N58" s="13">
        <v>2381</v>
      </c>
      <c r="O58" s="13"/>
      <c r="P58" s="13">
        <v>3962.5</v>
      </c>
      <c r="Q58" s="13">
        <v>7934</v>
      </c>
      <c r="R58" s="13"/>
      <c r="S58" s="13">
        <f>R58+Q58+P58+O58+N58+M58</f>
        <v>14277.5</v>
      </c>
      <c r="T58" s="4" t="s">
        <v>59</v>
      </c>
    </row>
    <row r="59" spans="1:20" x14ac:dyDescent="0.25">
      <c r="A59" s="118"/>
      <c r="B59" s="6" t="s">
        <v>55</v>
      </c>
      <c r="C59" s="7" t="s">
        <v>56</v>
      </c>
      <c r="D59" s="8"/>
      <c r="E59" s="8">
        <v>285.57095956659271</v>
      </c>
      <c r="F59" s="8">
        <v>68.812279413636801</v>
      </c>
      <c r="G59" s="8"/>
      <c r="H59" s="8" t="s">
        <v>58</v>
      </c>
      <c r="I59" s="13">
        <v>5631.0320000000047</v>
      </c>
      <c r="J59" s="13">
        <v>0</v>
      </c>
      <c r="K59" s="13">
        <v>361.45999999999992</v>
      </c>
      <c r="L59" s="13">
        <v>0</v>
      </c>
      <c r="M59" s="30"/>
      <c r="N59" s="30"/>
      <c r="O59" s="31"/>
      <c r="P59" s="30"/>
      <c r="Q59" s="30"/>
      <c r="R59" s="13"/>
      <c r="S59" s="13">
        <f>R59+Q59+P59+O59+N59+M59</f>
        <v>0</v>
      </c>
      <c r="T59" s="4" t="s">
        <v>59</v>
      </c>
    </row>
    <row r="60" spans="1:20" x14ac:dyDescent="0.25">
      <c r="A60" s="118"/>
      <c r="B60" s="6" t="s">
        <v>57</v>
      </c>
      <c r="C60" s="7" t="s">
        <v>33</v>
      </c>
      <c r="D60" s="8">
        <v>405.99244854045713</v>
      </c>
      <c r="E60" s="8"/>
      <c r="F60" s="8">
        <v>496.65262666792358</v>
      </c>
      <c r="G60" s="8"/>
      <c r="H60" s="8" t="s">
        <v>58</v>
      </c>
      <c r="I60" s="13">
        <v>7389.0569999999971</v>
      </c>
      <c r="J60" s="13">
        <v>1376.3000000000004</v>
      </c>
      <c r="K60" s="13">
        <v>2326.7700000000004</v>
      </c>
      <c r="L60" s="13">
        <v>4970.8200000000006</v>
      </c>
      <c r="M60" s="30">
        <v>1655.7550000000001</v>
      </c>
      <c r="N60" s="30">
        <v>2355.5</v>
      </c>
      <c r="O60" s="31">
        <v>1199.5</v>
      </c>
      <c r="P60" s="30">
        <v>5051</v>
      </c>
      <c r="Q60" s="30">
        <v>13515.5</v>
      </c>
      <c r="R60" s="13"/>
      <c r="S60" s="13">
        <f>R60+Q60+P60+O60+N60+M60</f>
        <v>23777.255000000001</v>
      </c>
      <c r="T60" s="4" t="s">
        <v>59</v>
      </c>
    </row>
    <row r="61" spans="1:20" x14ac:dyDescent="0.25">
      <c r="A61" s="118"/>
      <c r="B61" s="6" t="s">
        <v>97</v>
      </c>
      <c r="C61" s="7" t="s">
        <v>98</v>
      </c>
      <c r="D61" s="8">
        <v>1350.9570755882244</v>
      </c>
      <c r="E61" s="8"/>
      <c r="F61" s="8"/>
      <c r="G61" s="8"/>
      <c r="H61" s="8" t="s">
        <v>58</v>
      </c>
      <c r="I61" s="13">
        <v>1458.2219999999998</v>
      </c>
      <c r="J61" s="13">
        <v>0</v>
      </c>
      <c r="K61" s="13">
        <v>0</v>
      </c>
      <c r="L61" s="13">
        <v>0</v>
      </c>
      <c r="M61" s="30"/>
      <c r="N61" s="30"/>
      <c r="O61" s="31"/>
      <c r="P61" s="30"/>
      <c r="Q61" s="30"/>
      <c r="R61" s="13"/>
      <c r="S61" s="13">
        <f>R61+Q61+P61+O61+N61+M61</f>
        <v>0</v>
      </c>
      <c r="T61" s="4" t="s">
        <v>59</v>
      </c>
    </row>
    <row r="62" spans="1:20" x14ac:dyDescent="0.25">
      <c r="A62" s="118"/>
      <c r="B62" s="6" t="s">
        <v>186</v>
      </c>
      <c r="C62" s="7" t="s">
        <v>187</v>
      </c>
      <c r="D62" s="8"/>
      <c r="E62" s="8"/>
      <c r="F62" s="8"/>
      <c r="G62" s="8">
        <v>25.116481985977433</v>
      </c>
      <c r="H62" s="11">
        <f>I62+J62-G62-F62-E62-D62</f>
        <v>-25.116481985977433</v>
      </c>
      <c r="I62" s="13">
        <v>0</v>
      </c>
      <c r="J62" s="13">
        <v>0</v>
      </c>
      <c r="K62" s="13">
        <v>0</v>
      </c>
      <c r="L62" s="13">
        <v>218.6</v>
      </c>
      <c r="M62" s="30">
        <v>169.3</v>
      </c>
      <c r="N62" s="30"/>
      <c r="O62" s="31"/>
      <c r="P62" s="30"/>
      <c r="Q62" s="30"/>
      <c r="R62" s="13"/>
      <c r="S62" s="13">
        <f t="shared" ref="S62:S63" si="13">R62+Q62+P62+O62+N62+M62</f>
        <v>169.3</v>
      </c>
      <c r="T62" s="4" t="s">
        <v>192</v>
      </c>
    </row>
    <row r="63" spans="1:20" x14ac:dyDescent="0.25">
      <c r="A63" s="119"/>
      <c r="B63" s="6" t="s">
        <v>188</v>
      </c>
      <c r="C63" s="7" t="s">
        <v>189</v>
      </c>
      <c r="D63" s="8"/>
      <c r="E63" s="8"/>
      <c r="F63" s="8"/>
      <c r="G63" s="8">
        <v>26.836788971318352</v>
      </c>
      <c r="H63" s="11">
        <f>I63+J63-G63-F63-E63-D63</f>
        <v>-26.836788971318352</v>
      </c>
      <c r="I63" s="13"/>
      <c r="J63" s="13"/>
      <c r="K63" s="13"/>
      <c r="L63" s="13"/>
      <c r="M63" s="30"/>
      <c r="N63" s="30"/>
      <c r="O63" s="31"/>
      <c r="P63" s="30"/>
      <c r="Q63" s="30"/>
      <c r="R63" s="13"/>
      <c r="S63" s="13">
        <f t="shared" si="13"/>
        <v>0</v>
      </c>
      <c r="T63" s="24" t="s">
        <v>73</v>
      </c>
    </row>
    <row r="65" spans="1:21" x14ac:dyDescent="0.25">
      <c r="A65" s="81" t="s">
        <v>18</v>
      </c>
      <c r="B65" s="82"/>
      <c r="C65" s="83" t="s">
        <v>30</v>
      </c>
      <c r="D65" s="59" t="s">
        <v>19</v>
      </c>
      <c r="E65" s="85" t="s">
        <v>0</v>
      </c>
      <c r="F65" s="87" t="s">
        <v>1</v>
      </c>
      <c r="G65" s="88"/>
      <c r="H65" s="87" t="s">
        <v>2</v>
      </c>
      <c r="I65" s="88"/>
      <c r="J65" s="89" t="s">
        <v>3</v>
      </c>
      <c r="K65" s="90"/>
      <c r="L65" s="90"/>
      <c r="M65" s="90"/>
      <c r="N65" s="90"/>
      <c r="O65" s="91"/>
      <c r="P65" s="92" t="s">
        <v>34</v>
      </c>
      <c r="Q65" s="98" t="s">
        <v>35</v>
      </c>
    </row>
    <row r="66" spans="1:21" x14ac:dyDescent="0.25">
      <c r="A66" s="56" t="s">
        <v>20</v>
      </c>
      <c r="B66" s="56" t="s">
        <v>21</v>
      </c>
      <c r="C66" s="84"/>
      <c r="D66" s="10">
        <v>46282</v>
      </c>
      <c r="E66" s="86"/>
      <c r="F66" s="57" t="s">
        <v>4</v>
      </c>
      <c r="G66" s="57" t="s">
        <v>5</v>
      </c>
      <c r="H66" s="57" t="s">
        <v>6</v>
      </c>
      <c r="I66" s="57" t="s">
        <v>7</v>
      </c>
      <c r="J66" s="58" t="s">
        <v>8</v>
      </c>
      <c r="K66" s="5" t="s">
        <v>9</v>
      </c>
      <c r="L66" s="5" t="s">
        <v>27</v>
      </c>
      <c r="M66" s="58" t="s">
        <v>10</v>
      </c>
      <c r="N66" s="58" t="s">
        <v>11</v>
      </c>
      <c r="O66" s="12" t="s">
        <v>40</v>
      </c>
      <c r="P66" s="93"/>
      <c r="Q66" s="98"/>
    </row>
    <row r="67" spans="1:21" x14ac:dyDescent="0.25">
      <c r="A67" s="55" t="s">
        <v>147</v>
      </c>
      <c r="B67" s="6" t="s">
        <v>148</v>
      </c>
      <c r="C67" s="7" t="s">
        <v>149</v>
      </c>
      <c r="D67" s="8">
        <v>5513.180160248191</v>
      </c>
      <c r="E67" s="11">
        <f>F67+G67-D67</f>
        <v>-246.48016024818935</v>
      </c>
      <c r="F67" s="13">
        <v>5266.7000000000016</v>
      </c>
      <c r="G67" s="13">
        <v>0</v>
      </c>
      <c r="H67" s="13">
        <v>0</v>
      </c>
      <c r="I67" s="13">
        <v>23.62</v>
      </c>
      <c r="J67" s="13"/>
      <c r="K67" s="13"/>
      <c r="L67" s="13"/>
      <c r="M67" s="13"/>
      <c r="N67" s="13"/>
      <c r="O67" s="13"/>
      <c r="P67" s="13">
        <f>O67+N67+M67+L67+K67+J67</f>
        <v>0</v>
      </c>
      <c r="Q67" s="4" t="s">
        <v>59</v>
      </c>
    </row>
    <row r="69" spans="1:21" x14ac:dyDescent="0.25">
      <c r="A69" s="81" t="s">
        <v>18</v>
      </c>
      <c r="B69" s="82"/>
      <c r="C69" s="83" t="s">
        <v>30</v>
      </c>
      <c r="D69" s="94" t="s">
        <v>19</v>
      </c>
      <c r="E69" s="95"/>
      <c r="F69" s="96"/>
      <c r="G69" s="85" t="s">
        <v>0</v>
      </c>
      <c r="H69" s="87" t="s">
        <v>1</v>
      </c>
      <c r="I69" s="88"/>
      <c r="J69" s="87" t="s">
        <v>2</v>
      </c>
      <c r="K69" s="88"/>
      <c r="L69" s="89" t="s">
        <v>3</v>
      </c>
      <c r="M69" s="90"/>
      <c r="N69" s="90"/>
      <c r="O69" s="90"/>
      <c r="P69" s="90"/>
      <c r="Q69" s="91"/>
      <c r="R69" s="92" t="s">
        <v>34</v>
      </c>
      <c r="S69" s="85" t="s">
        <v>35</v>
      </c>
    </row>
    <row r="70" spans="1:21" x14ac:dyDescent="0.25">
      <c r="A70" s="44" t="s">
        <v>20</v>
      </c>
      <c r="B70" s="44" t="s">
        <v>21</v>
      </c>
      <c r="C70" s="84"/>
      <c r="D70" s="10">
        <v>46262</v>
      </c>
      <c r="E70" s="10">
        <v>46268</v>
      </c>
      <c r="F70" s="10">
        <v>46275</v>
      </c>
      <c r="G70" s="86"/>
      <c r="H70" s="48" t="s">
        <v>4</v>
      </c>
      <c r="I70" s="48" t="s">
        <v>5</v>
      </c>
      <c r="J70" s="48" t="s">
        <v>6</v>
      </c>
      <c r="K70" s="48" t="s">
        <v>7</v>
      </c>
      <c r="L70" s="49" t="s">
        <v>8</v>
      </c>
      <c r="M70" s="5" t="s">
        <v>9</v>
      </c>
      <c r="N70" s="5" t="s">
        <v>27</v>
      </c>
      <c r="O70" s="49" t="s">
        <v>10</v>
      </c>
      <c r="P70" s="49" t="s">
        <v>11</v>
      </c>
      <c r="Q70" s="12" t="s">
        <v>40</v>
      </c>
      <c r="R70" s="93"/>
      <c r="S70" s="86"/>
    </row>
    <row r="71" spans="1:21" x14ac:dyDescent="0.25">
      <c r="A71" s="109" t="s">
        <v>85</v>
      </c>
      <c r="B71" s="6" t="s">
        <v>86</v>
      </c>
      <c r="C71" s="7" t="s">
        <v>87</v>
      </c>
      <c r="D71" s="8">
        <v>149.02442631301247</v>
      </c>
      <c r="E71" s="8">
        <v>6.3900213426712842</v>
      </c>
      <c r="F71" s="8">
        <v>4.5643009590509172</v>
      </c>
      <c r="G71" s="8" t="s">
        <v>58</v>
      </c>
      <c r="H71" s="8">
        <v>448.47799999999995</v>
      </c>
      <c r="I71" s="8">
        <v>0</v>
      </c>
      <c r="J71" s="8">
        <v>0</v>
      </c>
      <c r="K71" s="8">
        <v>127.09899999999999</v>
      </c>
      <c r="L71" s="8"/>
      <c r="M71" s="8"/>
      <c r="N71" s="8"/>
      <c r="O71" s="8"/>
      <c r="P71" s="8"/>
      <c r="Q71" s="8"/>
      <c r="R71" s="13">
        <f>P71+O71+N71+M71+L71+Q71</f>
        <v>0</v>
      </c>
      <c r="S71" s="4" t="s">
        <v>59</v>
      </c>
    </row>
    <row r="72" spans="1:21" x14ac:dyDescent="0.25">
      <c r="A72" s="114"/>
      <c r="B72" s="6" t="s">
        <v>88</v>
      </c>
      <c r="C72" s="7" t="s">
        <v>89</v>
      </c>
      <c r="D72" s="8">
        <v>31.493676617451332</v>
      </c>
      <c r="E72" s="8">
        <v>2.0539354315729126</v>
      </c>
      <c r="F72" s="8"/>
      <c r="G72" s="8" t="s">
        <v>58</v>
      </c>
      <c r="H72" s="8">
        <v>808.20500000000004</v>
      </c>
      <c r="I72" s="8">
        <v>0</v>
      </c>
      <c r="J72" s="8">
        <v>0</v>
      </c>
      <c r="K72" s="8">
        <v>0</v>
      </c>
      <c r="L72" s="8"/>
      <c r="M72" s="8"/>
      <c r="N72" s="8"/>
      <c r="O72" s="8"/>
      <c r="P72" s="8"/>
      <c r="Q72" s="8"/>
      <c r="R72" s="13">
        <f t="shared" ref="R72:R73" si="14">P72+O72+N72+M72+L72+Q72</f>
        <v>0</v>
      </c>
      <c r="S72" s="4" t="s">
        <v>59</v>
      </c>
    </row>
    <row r="73" spans="1:21" x14ac:dyDescent="0.25">
      <c r="A73" s="114"/>
      <c r="B73" s="6" t="s">
        <v>90</v>
      </c>
      <c r="C73" s="7" t="s">
        <v>91</v>
      </c>
      <c r="D73" s="8">
        <v>53.858751316800827</v>
      </c>
      <c r="E73" s="8">
        <v>4.3360859110983716</v>
      </c>
      <c r="F73" s="8"/>
      <c r="G73" s="8" t="s">
        <v>58</v>
      </c>
      <c r="H73" s="8">
        <v>762.3249999999997</v>
      </c>
      <c r="I73" s="8">
        <v>0</v>
      </c>
      <c r="J73" s="8">
        <v>0</v>
      </c>
      <c r="K73" s="8">
        <v>0</v>
      </c>
      <c r="L73" s="8"/>
      <c r="M73" s="8"/>
      <c r="N73" s="8"/>
      <c r="O73" s="8"/>
      <c r="P73" s="8"/>
      <c r="Q73" s="8"/>
      <c r="R73" s="13">
        <f t="shared" si="14"/>
        <v>0</v>
      </c>
      <c r="S73" s="4" t="s">
        <v>59</v>
      </c>
    </row>
    <row r="75" spans="1:21" x14ac:dyDescent="0.25">
      <c r="A75" s="81" t="s">
        <v>18</v>
      </c>
      <c r="B75" s="82"/>
      <c r="C75" s="83" t="s">
        <v>30</v>
      </c>
      <c r="D75" s="94" t="s">
        <v>19</v>
      </c>
      <c r="E75" s="96"/>
      <c r="F75" s="85" t="s">
        <v>0</v>
      </c>
      <c r="G75" s="87" t="s">
        <v>1</v>
      </c>
      <c r="H75" s="88"/>
      <c r="I75" s="87" t="s">
        <v>2</v>
      </c>
      <c r="J75" s="88"/>
      <c r="K75" s="89" t="s">
        <v>3</v>
      </c>
      <c r="L75" s="90"/>
      <c r="M75" s="90"/>
      <c r="N75" s="90"/>
      <c r="O75" s="90"/>
      <c r="P75" s="91"/>
      <c r="Q75" s="92" t="s">
        <v>34</v>
      </c>
      <c r="R75" s="85" t="s">
        <v>35</v>
      </c>
    </row>
    <row r="76" spans="1:21" x14ac:dyDescent="0.25">
      <c r="A76" s="44" t="s">
        <v>20</v>
      </c>
      <c r="B76" s="44" t="s">
        <v>21</v>
      </c>
      <c r="C76" s="84"/>
      <c r="D76" s="10">
        <v>46262</v>
      </c>
      <c r="E76" s="10">
        <v>46268</v>
      </c>
      <c r="F76" s="86"/>
      <c r="G76" s="48" t="s">
        <v>4</v>
      </c>
      <c r="H76" s="48" t="s">
        <v>5</v>
      </c>
      <c r="I76" s="48" t="s">
        <v>6</v>
      </c>
      <c r="J76" s="48" t="s">
        <v>7</v>
      </c>
      <c r="K76" s="49" t="s">
        <v>8</v>
      </c>
      <c r="L76" s="5" t="s">
        <v>9</v>
      </c>
      <c r="M76" s="5" t="s">
        <v>27</v>
      </c>
      <c r="N76" s="49" t="s">
        <v>10</v>
      </c>
      <c r="O76" s="49" t="s">
        <v>11</v>
      </c>
      <c r="P76" s="12" t="s">
        <v>40</v>
      </c>
      <c r="Q76" s="93"/>
      <c r="R76" s="86"/>
    </row>
    <row r="77" spans="1:21" x14ac:dyDescent="0.25">
      <c r="A77" s="51" t="s">
        <v>92</v>
      </c>
      <c r="B77" s="6" t="s">
        <v>93</v>
      </c>
      <c r="C77" s="7" t="s">
        <v>94</v>
      </c>
      <c r="D77" s="8">
        <v>3.6768457076043601</v>
      </c>
      <c r="E77" s="8">
        <v>3.6768457076043601</v>
      </c>
      <c r="F77" s="8" t="s">
        <v>58</v>
      </c>
      <c r="G77" s="13">
        <v>232.18200000000002</v>
      </c>
      <c r="H77" s="13">
        <v>0</v>
      </c>
      <c r="I77" s="13">
        <v>0</v>
      </c>
      <c r="J77" s="13">
        <v>0</v>
      </c>
      <c r="K77" s="13"/>
      <c r="L77" s="13"/>
      <c r="M77" s="13"/>
      <c r="N77" s="13"/>
      <c r="O77" s="13"/>
      <c r="P77" s="13"/>
      <c r="Q77" s="13">
        <f>O77+N77+M77+L77+K77+P77</f>
        <v>0</v>
      </c>
      <c r="R77" s="4" t="s">
        <v>59</v>
      </c>
    </row>
    <row r="79" spans="1:21" ht="16.5" x14ac:dyDescent="0.3">
      <c r="A79" s="81" t="s">
        <v>18</v>
      </c>
      <c r="B79" s="82"/>
      <c r="C79" s="83" t="s">
        <v>30</v>
      </c>
      <c r="D79" s="94" t="s">
        <v>19</v>
      </c>
      <c r="E79" s="96"/>
      <c r="F79" s="85" t="s">
        <v>0</v>
      </c>
      <c r="G79" s="87" t="s">
        <v>1</v>
      </c>
      <c r="H79" s="88"/>
      <c r="I79" s="87" t="s">
        <v>2</v>
      </c>
      <c r="J79" s="88"/>
      <c r="K79" s="89" t="s">
        <v>3</v>
      </c>
      <c r="L79" s="90"/>
      <c r="M79" s="90"/>
      <c r="N79" s="90"/>
      <c r="O79" s="90"/>
      <c r="P79" s="91"/>
      <c r="Q79" s="92" t="s">
        <v>34</v>
      </c>
      <c r="R79" s="98" t="s">
        <v>35</v>
      </c>
      <c r="S79" s="1"/>
      <c r="U79" s="3"/>
    </row>
    <row r="80" spans="1:21" ht="16.5" x14ac:dyDescent="0.3">
      <c r="A80" s="44" t="s">
        <v>20</v>
      </c>
      <c r="B80" s="44" t="s">
        <v>21</v>
      </c>
      <c r="C80" s="84"/>
      <c r="D80" s="10">
        <v>46262</v>
      </c>
      <c r="E80" s="10">
        <v>46268</v>
      </c>
      <c r="F80" s="86"/>
      <c r="G80" s="48" t="s">
        <v>4</v>
      </c>
      <c r="H80" s="48" t="s">
        <v>5</v>
      </c>
      <c r="I80" s="48" t="s">
        <v>6</v>
      </c>
      <c r="J80" s="48" t="s">
        <v>7</v>
      </c>
      <c r="K80" s="49" t="s">
        <v>8</v>
      </c>
      <c r="L80" s="5" t="s">
        <v>9</v>
      </c>
      <c r="M80" s="5" t="s">
        <v>27</v>
      </c>
      <c r="N80" s="49" t="s">
        <v>10</v>
      </c>
      <c r="O80" s="49" t="s">
        <v>11</v>
      </c>
      <c r="P80" s="12" t="s">
        <v>40</v>
      </c>
      <c r="Q80" s="93"/>
      <c r="R80" s="98"/>
      <c r="S80" s="25"/>
      <c r="U80" s="3"/>
    </row>
    <row r="81" spans="1:19" x14ac:dyDescent="0.25">
      <c r="A81" s="53" t="s">
        <v>74</v>
      </c>
      <c r="B81" s="6" t="s">
        <v>83</v>
      </c>
      <c r="C81" s="7" t="s">
        <v>84</v>
      </c>
      <c r="D81" s="8">
        <v>88.59219425182809</v>
      </c>
      <c r="E81" s="8">
        <v>96.89207395770201</v>
      </c>
      <c r="F81" s="8" t="s">
        <v>58</v>
      </c>
      <c r="G81" s="13">
        <v>1614.72</v>
      </c>
      <c r="H81" s="13">
        <v>0</v>
      </c>
      <c r="I81" s="13">
        <v>207.54000000000002</v>
      </c>
      <c r="J81" s="13">
        <v>0</v>
      </c>
      <c r="K81" s="13"/>
      <c r="L81" s="13"/>
      <c r="M81" s="13"/>
      <c r="N81" s="13"/>
      <c r="O81" s="13"/>
      <c r="P81" s="13"/>
      <c r="Q81" s="13">
        <f>P81+O81+N81+M81+L81+K81</f>
        <v>0</v>
      </c>
      <c r="R81" s="4" t="s">
        <v>59</v>
      </c>
      <c r="S81" s="25"/>
    </row>
    <row r="83" spans="1:19" x14ac:dyDescent="0.25">
      <c r="A83" s="102" t="s">
        <v>18</v>
      </c>
      <c r="B83" s="102"/>
      <c r="C83" s="102" t="s">
        <v>30</v>
      </c>
      <c r="D83" s="54" t="s">
        <v>19</v>
      </c>
      <c r="E83" s="98" t="s">
        <v>0</v>
      </c>
      <c r="F83" s="97" t="s">
        <v>1</v>
      </c>
      <c r="G83" s="97"/>
      <c r="H83" s="97" t="s">
        <v>2</v>
      </c>
      <c r="I83" s="97"/>
      <c r="J83" s="115" t="s">
        <v>3</v>
      </c>
      <c r="K83" s="115"/>
      <c r="L83" s="115"/>
      <c r="M83" s="115"/>
      <c r="N83" s="115"/>
      <c r="O83" s="115"/>
      <c r="P83" s="116" t="s">
        <v>34</v>
      </c>
      <c r="Q83" s="98" t="s">
        <v>35</v>
      </c>
    </row>
    <row r="84" spans="1:19" x14ac:dyDescent="0.25">
      <c r="A84" s="44" t="s">
        <v>20</v>
      </c>
      <c r="B84" s="44" t="s">
        <v>21</v>
      </c>
      <c r="C84" s="102"/>
      <c r="D84" s="10">
        <v>46284</v>
      </c>
      <c r="E84" s="98"/>
      <c r="F84" s="48" t="s">
        <v>4</v>
      </c>
      <c r="G84" s="48" t="s">
        <v>5</v>
      </c>
      <c r="H84" s="48" t="s">
        <v>6</v>
      </c>
      <c r="I84" s="48" t="s">
        <v>7</v>
      </c>
      <c r="J84" s="49" t="s">
        <v>8</v>
      </c>
      <c r="K84" s="5" t="s">
        <v>9</v>
      </c>
      <c r="L84" s="5" t="s">
        <v>27</v>
      </c>
      <c r="M84" s="49" t="s">
        <v>10</v>
      </c>
      <c r="N84" s="49" t="s">
        <v>11</v>
      </c>
      <c r="O84" s="12" t="s">
        <v>40</v>
      </c>
      <c r="P84" s="116"/>
      <c r="Q84" s="98"/>
    </row>
    <row r="85" spans="1:19" x14ac:dyDescent="0.25">
      <c r="A85" s="51" t="s">
        <v>99</v>
      </c>
      <c r="B85" s="6" t="s">
        <v>75</v>
      </c>
      <c r="C85" s="7" t="s">
        <v>76</v>
      </c>
      <c r="D85" s="8">
        <v>102.66590331830994</v>
      </c>
      <c r="E85" s="8" t="s">
        <v>58</v>
      </c>
      <c r="F85" s="13">
        <v>683.86</v>
      </c>
      <c r="G85" s="13">
        <v>0</v>
      </c>
      <c r="H85" s="13">
        <v>3344.4599999999973</v>
      </c>
      <c r="I85" s="13">
        <v>0</v>
      </c>
      <c r="J85" s="13"/>
      <c r="K85" s="13"/>
      <c r="L85" s="13"/>
      <c r="M85" s="13"/>
      <c r="N85" s="13"/>
      <c r="O85" s="13"/>
      <c r="P85" s="13">
        <f>O85+N85+M85+L85+K85+J85</f>
        <v>0</v>
      </c>
      <c r="Q85" s="4" t="s">
        <v>59</v>
      </c>
    </row>
    <row r="87" spans="1:19" x14ac:dyDescent="0.25">
      <c r="A87" s="102" t="s">
        <v>18</v>
      </c>
      <c r="B87" s="102"/>
      <c r="C87" s="102" t="s">
        <v>30</v>
      </c>
      <c r="D87" s="54" t="s">
        <v>19</v>
      </c>
      <c r="E87" s="98" t="s">
        <v>0</v>
      </c>
      <c r="F87" s="97" t="s">
        <v>1</v>
      </c>
      <c r="G87" s="97"/>
      <c r="H87" s="97" t="s">
        <v>2</v>
      </c>
      <c r="I87" s="97"/>
      <c r="J87" s="115" t="s">
        <v>3</v>
      </c>
      <c r="K87" s="115"/>
      <c r="L87" s="115"/>
      <c r="M87" s="115"/>
      <c r="N87" s="115"/>
      <c r="O87" s="115"/>
      <c r="P87" s="116" t="s">
        <v>34</v>
      </c>
      <c r="Q87" s="98" t="s">
        <v>35</v>
      </c>
    </row>
    <row r="88" spans="1:19" x14ac:dyDescent="0.25">
      <c r="A88" s="44" t="s">
        <v>20</v>
      </c>
      <c r="B88" s="44" t="s">
        <v>21</v>
      </c>
      <c r="C88" s="102"/>
      <c r="D88" s="10">
        <v>46264</v>
      </c>
      <c r="E88" s="98"/>
      <c r="F88" s="48" t="s">
        <v>4</v>
      </c>
      <c r="G88" s="48" t="s">
        <v>5</v>
      </c>
      <c r="H88" s="48" t="s">
        <v>6</v>
      </c>
      <c r="I88" s="48" t="s">
        <v>7</v>
      </c>
      <c r="J88" s="49" t="s">
        <v>8</v>
      </c>
      <c r="K88" s="5" t="s">
        <v>9</v>
      </c>
      <c r="L88" s="5" t="s">
        <v>27</v>
      </c>
      <c r="M88" s="49" t="s">
        <v>10</v>
      </c>
      <c r="N88" s="49" t="s">
        <v>11</v>
      </c>
      <c r="O88" s="12" t="s">
        <v>40</v>
      </c>
      <c r="P88" s="116"/>
      <c r="Q88" s="98"/>
    </row>
    <row r="89" spans="1:19" x14ac:dyDescent="0.25">
      <c r="A89" s="52" t="s">
        <v>128</v>
      </c>
      <c r="B89" s="6" t="s">
        <v>130</v>
      </c>
      <c r="C89" s="7" t="s">
        <v>131</v>
      </c>
      <c r="D89" s="8">
        <v>2.3297683099179669</v>
      </c>
      <c r="E89" s="8" t="s">
        <v>58</v>
      </c>
      <c r="F89" s="13">
        <v>31.826000000000001</v>
      </c>
      <c r="G89" s="13">
        <v>0</v>
      </c>
      <c r="H89" s="13">
        <v>0</v>
      </c>
      <c r="I89" s="13">
        <v>0</v>
      </c>
      <c r="J89" s="30"/>
      <c r="K89" s="30">
        <v>86</v>
      </c>
      <c r="L89" s="31"/>
      <c r="M89" s="30"/>
      <c r="N89" s="30"/>
      <c r="O89" s="13"/>
      <c r="P89" s="13">
        <f>O89+N89+M89+L89+K89+J89</f>
        <v>86</v>
      </c>
      <c r="Q89" s="4" t="s">
        <v>59</v>
      </c>
    </row>
    <row r="91" spans="1:19" x14ac:dyDescent="0.25">
      <c r="A91" s="102" t="s">
        <v>18</v>
      </c>
      <c r="B91" s="102"/>
      <c r="C91" s="102" t="s">
        <v>30</v>
      </c>
      <c r="D91" s="54" t="s">
        <v>19</v>
      </c>
      <c r="E91" s="85" t="s">
        <v>0</v>
      </c>
      <c r="F91" s="87" t="s">
        <v>1</v>
      </c>
      <c r="G91" s="88"/>
      <c r="H91" s="87" t="s">
        <v>2</v>
      </c>
      <c r="I91" s="88"/>
      <c r="J91" s="89" t="s">
        <v>3</v>
      </c>
      <c r="K91" s="90"/>
      <c r="L91" s="90"/>
      <c r="M91" s="90"/>
      <c r="N91" s="90"/>
      <c r="O91" s="91"/>
      <c r="P91" s="92" t="s">
        <v>34</v>
      </c>
      <c r="Q91" s="98" t="s">
        <v>35</v>
      </c>
    </row>
    <row r="92" spans="1:19" x14ac:dyDescent="0.25">
      <c r="A92" s="44" t="s">
        <v>20</v>
      </c>
      <c r="B92" s="44" t="s">
        <v>21</v>
      </c>
      <c r="C92" s="102"/>
      <c r="D92" s="10">
        <v>46263</v>
      </c>
      <c r="E92" s="86"/>
      <c r="F92" s="48" t="s">
        <v>4</v>
      </c>
      <c r="G92" s="48" t="s">
        <v>5</v>
      </c>
      <c r="H92" s="48" t="s">
        <v>6</v>
      </c>
      <c r="I92" s="48" t="s">
        <v>7</v>
      </c>
      <c r="J92" s="49" t="s">
        <v>8</v>
      </c>
      <c r="K92" s="5" t="s">
        <v>9</v>
      </c>
      <c r="L92" s="5" t="s">
        <v>27</v>
      </c>
      <c r="M92" s="49" t="s">
        <v>10</v>
      </c>
      <c r="N92" s="49" t="s">
        <v>11</v>
      </c>
      <c r="O92" s="12" t="s">
        <v>40</v>
      </c>
      <c r="P92" s="93"/>
      <c r="Q92" s="98"/>
    </row>
    <row r="93" spans="1:19" x14ac:dyDescent="0.25">
      <c r="A93" s="109" t="s">
        <v>142</v>
      </c>
      <c r="B93" s="6" t="s">
        <v>143</v>
      </c>
      <c r="C93" s="7" t="s">
        <v>144</v>
      </c>
      <c r="D93" s="8">
        <v>199.44793833478869</v>
      </c>
      <c r="E93" s="8" t="s">
        <v>58</v>
      </c>
      <c r="F93" s="13">
        <v>3029.8999999999978</v>
      </c>
      <c r="G93" s="13">
        <v>0</v>
      </c>
      <c r="H93" s="13">
        <v>0</v>
      </c>
      <c r="I93" s="13">
        <v>0</v>
      </c>
      <c r="J93" s="13"/>
      <c r="K93" s="13"/>
      <c r="L93" s="13"/>
      <c r="M93" s="13"/>
      <c r="N93" s="13"/>
      <c r="O93" s="13"/>
      <c r="P93" s="13">
        <f>O93+N93+M93+L93+K93+J93</f>
        <v>0</v>
      </c>
      <c r="Q93" s="4" t="s">
        <v>59</v>
      </c>
    </row>
    <row r="94" spans="1:19" x14ac:dyDescent="0.25">
      <c r="A94" s="114"/>
      <c r="B94" s="6" t="s">
        <v>168</v>
      </c>
      <c r="C94" s="7" t="s">
        <v>107</v>
      </c>
      <c r="D94" s="8">
        <v>172.91880551141136</v>
      </c>
      <c r="E94" s="8" t="s">
        <v>58</v>
      </c>
      <c r="F94" s="13">
        <v>1489.7300000000002</v>
      </c>
      <c r="G94" s="13">
        <v>0</v>
      </c>
      <c r="H94" s="13">
        <v>0</v>
      </c>
      <c r="I94" s="13">
        <v>0</v>
      </c>
      <c r="J94" s="13"/>
      <c r="K94" s="13"/>
      <c r="L94" s="13"/>
      <c r="M94" s="13"/>
      <c r="N94" s="13"/>
      <c r="O94" s="13"/>
      <c r="P94" s="13">
        <f t="shared" ref="P94:P95" si="15">O94+N94+M94+L94+K94+J94</f>
        <v>0</v>
      </c>
      <c r="Q94" s="4" t="s">
        <v>59</v>
      </c>
    </row>
    <row r="95" spans="1:19" x14ac:dyDescent="0.25">
      <c r="A95" s="114"/>
      <c r="B95" s="6" t="s">
        <v>169</v>
      </c>
      <c r="C95" s="7" t="s">
        <v>170</v>
      </c>
      <c r="D95" s="8">
        <v>87.897729234081552</v>
      </c>
      <c r="E95" s="8" t="s">
        <v>58</v>
      </c>
      <c r="F95" s="13">
        <v>1650.03</v>
      </c>
      <c r="G95" s="13">
        <v>0</v>
      </c>
      <c r="H95" s="13">
        <v>0</v>
      </c>
      <c r="I95" s="13">
        <v>0</v>
      </c>
      <c r="J95" s="13"/>
      <c r="K95" s="13"/>
      <c r="L95" s="13"/>
      <c r="M95" s="13"/>
      <c r="N95" s="13"/>
      <c r="O95" s="13"/>
      <c r="P95" s="13">
        <f t="shared" si="15"/>
        <v>0</v>
      </c>
      <c r="Q95" s="4" t="s">
        <v>59</v>
      </c>
    </row>
    <row r="97" spans="1:18" x14ac:dyDescent="0.25">
      <c r="A97" s="102" t="s">
        <v>18</v>
      </c>
      <c r="B97" s="102"/>
      <c r="C97" s="102" t="s">
        <v>30</v>
      </c>
      <c r="D97" s="54" t="s">
        <v>19</v>
      </c>
      <c r="E97" s="85" t="s">
        <v>0</v>
      </c>
      <c r="F97" s="87" t="s">
        <v>1</v>
      </c>
      <c r="G97" s="88"/>
      <c r="H97" s="87" t="s">
        <v>2</v>
      </c>
      <c r="I97" s="88"/>
      <c r="J97" s="89" t="s">
        <v>3</v>
      </c>
      <c r="K97" s="90"/>
      <c r="L97" s="90"/>
      <c r="M97" s="90"/>
      <c r="N97" s="90"/>
      <c r="O97" s="91"/>
      <c r="P97" s="92" t="s">
        <v>34</v>
      </c>
      <c r="Q97" s="98" t="s">
        <v>35</v>
      </c>
    </row>
    <row r="98" spans="1:18" x14ac:dyDescent="0.25">
      <c r="A98" s="44" t="s">
        <v>20</v>
      </c>
      <c r="B98" s="44" t="s">
        <v>21</v>
      </c>
      <c r="C98" s="102"/>
      <c r="D98" s="10">
        <v>46263</v>
      </c>
      <c r="E98" s="86"/>
      <c r="F98" s="48" t="s">
        <v>4</v>
      </c>
      <c r="G98" s="48" t="s">
        <v>5</v>
      </c>
      <c r="H98" s="48" t="s">
        <v>6</v>
      </c>
      <c r="I98" s="48" t="s">
        <v>7</v>
      </c>
      <c r="J98" s="49" t="s">
        <v>8</v>
      </c>
      <c r="K98" s="5" t="s">
        <v>9</v>
      </c>
      <c r="L98" s="5" t="s">
        <v>27</v>
      </c>
      <c r="M98" s="49" t="s">
        <v>10</v>
      </c>
      <c r="N98" s="49" t="s">
        <v>11</v>
      </c>
      <c r="O98" s="12" t="s">
        <v>40</v>
      </c>
      <c r="P98" s="93"/>
      <c r="Q98" s="98"/>
    </row>
    <row r="99" spans="1:18" x14ac:dyDescent="0.25">
      <c r="A99" s="51" t="s">
        <v>150</v>
      </c>
      <c r="B99" s="6" t="s">
        <v>151</v>
      </c>
      <c r="C99" s="7" t="s">
        <v>140</v>
      </c>
      <c r="D99" s="8">
        <v>473.04959733251167</v>
      </c>
      <c r="E99" s="8" t="s">
        <v>58</v>
      </c>
      <c r="F99" s="13">
        <v>14631.399999999985</v>
      </c>
      <c r="G99" s="13">
        <v>1289.5600000000002</v>
      </c>
      <c r="H99" s="13">
        <v>15.66</v>
      </c>
      <c r="I99" s="13">
        <v>1619.0700000000002</v>
      </c>
      <c r="J99" s="13"/>
      <c r="K99" s="13">
        <v>3636</v>
      </c>
      <c r="L99" s="13"/>
      <c r="M99" s="13"/>
      <c r="N99" s="13"/>
      <c r="O99" s="13"/>
      <c r="P99" s="13">
        <f>O99+N99+M99+L99+K99+J99</f>
        <v>3636</v>
      </c>
      <c r="Q99" s="4" t="s">
        <v>59</v>
      </c>
    </row>
    <row r="101" spans="1:18" x14ac:dyDescent="0.25">
      <c r="A101" s="81" t="s">
        <v>18</v>
      </c>
      <c r="B101" s="82"/>
      <c r="C101" s="83" t="s">
        <v>30</v>
      </c>
      <c r="D101" s="94" t="s">
        <v>19</v>
      </c>
      <c r="E101" s="96"/>
      <c r="F101" s="85" t="s">
        <v>0</v>
      </c>
      <c r="G101" s="87" t="s">
        <v>1</v>
      </c>
      <c r="H101" s="88"/>
      <c r="I101" s="87" t="s">
        <v>2</v>
      </c>
      <c r="J101" s="88"/>
      <c r="K101" s="89" t="s">
        <v>3</v>
      </c>
      <c r="L101" s="90"/>
      <c r="M101" s="90"/>
      <c r="N101" s="90"/>
      <c r="O101" s="90"/>
      <c r="P101" s="91"/>
      <c r="Q101" s="92" t="s">
        <v>34</v>
      </c>
      <c r="R101" s="98" t="s">
        <v>35</v>
      </c>
    </row>
    <row r="102" spans="1:18" x14ac:dyDescent="0.25">
      <c r="A102" s="56" t="s">
        <v>20</v>
      </c>
      <c r="B102" s="56" t="s">
        <v>21</v>
      </c>
      <c r="C102" s="84"/>
      <c r="D102" s="10">
        <v>46259</v>
      </c>
      <c r="E102" s="10">
        <v>46264</v>
      </c>
      <c r="F102" s="86"/>
      <c r="G102" s="57" t="s">
        <v>4</v>
      </c>
      <c r="H102" s="57" t="s">
        <v>5</v>
      </c>
      <c r="I102" s="57" t="s">
        <v>6</v>
      </c>
      <c r="J102" s="57" t="s">
        <v>7</v>
      </c>
      <c r="K102" s="58" t="s">
        <v>8</v>
      </c>
      <c r="L102" s="5" t="s">
        <v>9</v>
      </c>
      <c r="M102" s="5" t="s">
        <v>27</v>
      </c>
      <c r="N102" s="58" t="s">
        <v>10</v>
      </c>
      <c r="O102" s="58" t="s">
        <v>11</v>
      </c>
      <c r="P102" s="12" t="s">
        <v>40</v>
      </c>
      <c r="Q102" s="93"/>
      <c r="R102" s="98"/>
    </row>
    <row r="103" spans="1:18" x14ac:dyDescent="0.25">
      <c r="A103" s="120" t="s">
        <v>108</v>
      </c>
      <c r="B103" s="6" t="s">
        <v>110</v>
      </c>
      <c r="C103" s="7" t="s">
        <v>111</v>
      </c>
      <c r="D103" s="8">
        <v>1013.6127102621931</v>
      </c>
      <c r="E103" s="8"/>
      <c r="F103" s="8" t="s">
        <v>58</v>
      </c>
      <c r="G103" s="8">
        <v>1044.98</v>
      </c>
      <c r="H103" s="8">
        <v>542.28999999999985</v>
      </c>
      <c r="I103" s="8">
        <v>0</v>
      </c>
      <c r="J103" s="8">
        <v>0</v>
      </c>
      <c r="K103" s="13"/>
      <c r="L103" s="13"/>
      <c r="M103" s="13"/>
      <c r="N103" s="13"/>
      <c r="O103" s="13"/>
      <c r="P103" s="13"/>
      <c r="Q103" s="13">
        <f t="shared" ref="Q103:Q108" si="16">P103+O103+N103+M103+L103+K103</f>
        <v>0</v>
      </c>
      <c r="R103" s="4" t="s">
        <v>59</v>
      </c>
    </row>
    <row r="104" spans="1:18" x14ac:dyDescent="0.25">
      <c r="A104" s="120"/>
      <c r="B104" s="6" t="s">
        <v>112</v>
      </c>
      <c r="C104" s="7" t="s">
        <v>113</v>
      </c>
      <c r="D104" s="8">
        <v>322.26271603737445</v>
      </c>
      <c r="E104" s="8">
        <v>106.7648650127358</v>
      </c>
      <c r="F104" s="8" t="s">
        <v>58</v>
      </c>
      <c r="G104" s="8">
        <v>423.25</v>
      </c>
      <c r="H104" s="8">
        <v>480.42</v>
      </c>
      <c r="I104" s="8">
        <v>191.15</v>
      </c>
      <c r="J104" s="8">
        <v>0</v>
      </c>
      <c r="K104" s="13"/>
      <c r="L104" s="13"/>
      <c r="M104" s="13"/>
      <c r="N104" s="13"/>
      <c r="O104" s="13"/>
      <c r="P104" s="13"/>
      <c r="Q104" s="13">
        <f t="shared" si="16"/>
        <v>0</v>
      </c>
      <c r="R104" s="4" t="s">
        <v>59</v>
      </c>
    </row>
    <row r="105" spans="1:18" x14ac:dyDescent="0.25">
      <c r="A105" s="120"/>
      <c r="B105" s="6" t="s">
        <v>114</v>
      </c>
      <c r="C105" s="7" t="s">
        <v>115</v>
      </c>
      <c r="D105" s="8">
        <v>20.004164209681669</v>
      </c>
      <c r="E105" s="8"/>
      <c r="F105" s="8" t="s">
        <v>58</v>
      </c>
      <c r="G105" s="8">
        <v>264.15999999999997</v>
      </c>
      <c r="H105" s="8">
        <v>0</v>
      </c>
      <c r="I105" s="8">
        <v>0</v>
      </c>
      <c r="J105" s="8"/>
      <c r="K105" s="13"/>
      <c r="L105" s="13"/>
      <c r="M105" s="13"/>
      <c r="N105" s="13"/>
      <c r="O105" s="13"/>
      <c r="P105" s="13"/>
      <c r="Q105" s="13">
        <f t="shared" si="16"/>
        <v>0</v>
      </c>
      <c r="R105" s="4" t="s">
        <v>59</v>
      </c>
    </row>
    <row r="106" spans="1:18" x14ac:dyDescent="0.25">
      <c r="A106" s="120"/>
      <c r="B106" s="6" t="s">
        <v>116</v>
      </c>
      <c r="C106" s="7" t="s">
        <v>117</v>
      </c>
      <c r="D106" s="8">
        <v>316.40394657653331</v>
      </c>
      <c r="E106" s="8">
        <v>20.517091497109369</v>
      </c>
      <c r="F106" s="8" t="s">
        <v>58</v>
      </c>
      <c r="G106" s="8">
        <v>1044.3600000000001</v>
      </c>
      <c r="H106" s="8">
        <v>23.4</v>
      </c>
      <c r="I106" s="8">
        <v>0</v>
      </c>
      <c r="J106" s="8">
        <v>0</v>
      </c>
      <c r="K106" s="13"/>
      <c r="L106" s="13"/>
      <c r="M106" s="13"/>
      <c r="N106" s="13"/>
      <c r="O106" s="13"/>
      <c r="P106" s="13"/>
      <c r="Q106" s="13">
        <f t="shared" si="16"/>
        <v>0</v>
      </c>
      <c r="R106" s="4" t="s">
        <v>59</v>
      </c>
    </row>
    <row r="107" spans="1:18" x14ac:dyDescent="0.25">
      <c r="A107" s="120"/>
      <c r="B107" s="6" t="s">
        <v>118</v>
      </c>
      <c r="C107" s="7" t="s">
        <v>119</v>
      </c>
      <c r="D107" s="8">
        <v>1179.4516009410506</v>
      </c>
      <c r="E107" s="8"/>
      <c r="F107" s="8" t="s">
        <v>58</v>
      </c>
      <c r="G107" s="8">
        <v>0</v>
      </c>
      <c r="H107" s="8">
        <v>1569.5600000000004</v>
      </c>
      <c r="I107" s="8">
        <v>0</v>
      </c>
      <c r="J107" s="8">
        <v>0</v>
      </c>
      <c r="K107" s="13"/>
      <c r="L107" s="13"/>
      <c r="M107" s="13"/>
      <c r="N107" s="13"/>
      <c r="O107" s="13"/>
      <c r="P107" s="13"/>
      <c r="Q107" s="13">
        <f t="shared" si="16"/>
        <v>0</v>
      </c>
      <c r="R107" s="4" t="s">
        <v>59</v>
      </c>
    </row>
    <row r="108" spans="1:18" x14ac:dyDescent="0.25">
      <c r="A108" s="121"/>
      <c r="B108" s="6" t="s">
        <v>120</v>
      </c>
      <c r="C108" s="7" t="s">
        <v>121</v>
      </c>
      <c r="D108" s="8">
        <v>165.61852191833287</v>
      </c>
      <c r="E108" s="8"/>
      <c r="F108" s="8" t="s">
        <v>58</v>
      </c>
      <c r="G108" s="8">
        <v>261.34999999999997</v>
      </c>
      <c r="H108" s="8">
        <v>0</v>
      </c>
      <c r="I108" s="8">
        <v>0</v>
      </c>
      <c r="J108" s="8">
        <v>0</v>
      </c>
      <c r="K108" s="13"/>
      <c r="L108" s="13"/>
      <c r="M108" s="13"/>
      <c r="N108" s="13"/>
      <c r="O108" s="13"/>
      <c r="P108" s="13"/>
      <c r="Q108" s="13">
        <f t="shared" si="16"/>
        <v>0</v>
      </c>
      <c r="R108" s="4" t="s">
        <v>59</v>
      </c>
    </row>
  </sheetData>
  <mergeCells count="140">
    <mergeCell ref="Q97:Q98"/>
    <mergeCell ref="P91:P92"/>
    <mergeCell ref="Q91:Q92"/>
    <mergeCell ref="A93:A95"/>
    <mergeCell ref="A97:B97"/>
    <mergeCell ref="C97:C98"/>
    <mergeCell ref="E97:E98"/>
    <mergeCell ref="F97:G97"/>
    <mergeCell ref="H97:I97"/>
    <mergeCell ref="J97:O97"/>
    <mergeCell ref="P97:P98"/>
    <mergeCell ref="A91:B91"/>
    <mergeCell ref="C91:C92"/>
    <mergeCell ref="E91:E92"/>
    <mergeCell ref="F91:G91"/>
    <mergeCell ref="H91:I91"/>
    <mergeCell ref="J91:O91"/>
    <mergeCell ref="P83:P84"/>
    <mergeCell ref="Q83:Q84"/>
    <mergeCell ref="A87:B87"/>
    <mergeCell ref="C87:C88"/>
    <mergeCell ref="E87:E88"/>
    <mergeCell ref="F87:G87"/>
    <mergeCell ref="H87:I87"/>
    <mergeCell ref="J87:O87"/>
    <mergeCell ref="P87:P88"/>
    <mergeCell ref="Q87:Q88"/>
    <mergeCell ref="A83:B83"/>
    <mergeCell ref="C83:C84"/>
    <mergeCell ref="E83:E84"/>
    <mergeCell ref="F83:G83"/>
    <mergeCell ref="H83:I83"/>
    <mergeCell ref="J83:O83"/>
    <mergeCell ref="A79:B79"/>
    <mergeCell ref="C79:C80"/>
    <mergeCell ref="F79:F80"/>
    <mergeCell ref="G79:H79"/>
    <mergeCell ref="I79:J79"/>
    <mergeCell ref="K79:P79"/>
    <mergeCell ref="Q79:Q80"/>
    <mergeCell ref="R79:R80"/>
    <mergeCell ref="D79:E79"/>
    <mergeCell ref="R69:R70"/>
    <mergeCell ref="S69:S70"/>
    <mergeCell ref="A71:A73"/>
    <mergeCell ref="A75:B75"/>
    <mergeCell ref="C75:C76"/>
    <mergeCell ref="F75:F76"/>
    <mergeCell ref="G75:H75"/>
    <mergeCell ref="I75:J75"/>
    <mergeCell ref="K75:P75"/>
    <mergeCell ref="Q75:Q76"/>
    <mergeCell ref="D75:E75"/>
    <mergeCell ref="R75:R76"/>
    <mergeCell ref="A69:B69"/>
    <mergeCell ref="C69:C70"/>
    <mergeCell ref="G69:G70"/>
    <mergeCell ref="H69:I69"/>
    <mergeCell ref="J69:K69"/>
    <mergeCell ref="L69:Q69"/>
    <mergeCell ref="A58:A63"/>
    <mergeCell ref="A65:B65"/>
    <mergeCell ref="C65:C66"/>
    <mergeCell ref="E65:E66"/>
    <mergeCell ref="F65:G65"/>
    <mergeCell ref="H65:I65"/>
    <mergeCell ref="J65:O65"/>
    <mergeCell ref="P65:P66"/>
    <mergeCell ref="Q65:Q66"/>
    <mergeCell ref="D69:F69"/>
    <mergeCell ref="A56:B56"/>
    <mergeCell ref="C56:C57"/>
    <mergeCell ref="H56:H57"/>
    <mergeCell ref="I56:J56"/>
    <mergeCell ref="K56:L56"/>
    <mergeCell ref="M56:R56"/>
    <mergeCell ref="D56:G56"/>
    <mergeCell ref="S56:S57"/>
    <mergeCell ref="T56:T57"/>
    <mergeCell ref="M50:R50"/>
    <mergeCell ref="S50:S51"/>
    <mergeCell ref="T50:T51"/>
    <mergeCell ref="A52:A54"/>
    <mergeCell ref="A50:B50"/>
    <mergeCell ref="C50:C51"/>
    <mergeCell ref="D50:G50"/>
    <mergeCell ref="H50:H51"/>
    <mergeCell ref="I50:J50"/>
    <mergeCell ref="K50:L50"/>
    <mergeCell ref="U28:U29"/>
    <mergeCell ref="A30:A48"/>
    <mergeCell ref="A49:Q49"/>
    <mergeCell ref="R49:T49"/>
    <mergeCell ref="A21:A26"/>
    <mergeCell ref="A28:B28"/>
    <mergeCell ref="C28:C29"/>
    <mergeCell ref="I28:I29"/>
    <mergeCell ref="J28:K28"/>
    <mergeCell ref="F19:F20"/>
    <mergeCell ref="G19:H19"/>
    <mergeCell ref="I19:J19"/>
    <mergeCell ref="K19:P19"/>
    <mergeCell ref="Q19:Q20"/>
    <mergeCell ref="R19:R20"/>
    <mergeCell ref="L28:M28"/>
    <mergeCell ref="N28:S28"/>
    <mergeCell ref="T28:T29"/>
    <mergeCell ref="R101:R102"/>
    <mergeCell ref="A1:P1"/>
    <mergeCell ref="D28:H28"/>
    <mergeCell ref="A10:A17"/>
    <mergeCell ref="I8:I9"/>
    <mergeCell ref="D8:H8"/>
    <mergeCell ref="D2:E2"/>
    <mergeCell ref="D19:E19"/>
    <mergeCell ref="Q2:Q3"/>
    <mergeCell ref="R2:R3"/>
    <mergeCell ref="A4:A6"/>
    <mergeCell ref="A7:Q7"/>
    <mergeCell ref="A8:B8"/>
    <mergeCell ref="C8:C9"/>
    <mergeCell ref="N8:S8"/>
    <mergeCell ref="A2:B2"/>
    <mergeCell ref="C2:C3"/>
    <mergeCell ref="F2:F3"/>
    <mergeCell ref="G2:H2"/>
    <mergeCell ref="I2:J2"/>
    <mergeCell ref="K2:P2"/>
    <mergeCell ref="A18:T18"/>
    <mergeCell ref="A19:B19"/>
    <mergeCell ref="C19:C20"/>
    <mergeCell ref="A103:A108"/>
    <mergeCell ref="A101:B101"/>
    <mergeCell ref="C101:C102"/>
    <mergeCell ref="D101:E101"/>
    <mergeCell ref="F101:F102"/>
    <mergeCell ref="G101:H101"/>
    <mergeCell ref="I101:J101"/>
    <mergeCell ref="K101:P101"/>
    <mergeCell ref="Q101:Q102"/>
  </mergeCells>
  <pageMargins left="0.16" right="0.16" top="0.41" bottom="0.35" header="0.3" footer="0.3"/>
  <pageSetup paperSize="9" scale="55" orientation="landscape" r:id="rId1"/>
  <rowBreaks count="1" manualBreakCount="1">
    <brk id="63" max="20" man="1"/>
  </rowBreaks>
  <colBreaks count="1" manualBreakCount="1"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9"/>
  <sheetViews>
    <sheetView tabSelected="1" workbookViewId="0">
      <selection activeCell="A9" sqref="A9:T9"/>
    </sheetView>
  </sheetViews>
  <sheetFormatPr defaultRowHeight="15" x14ac:dyDescent="0.25"/>
  <cols>
    <col min="1" max="1" width="11" bestFit="1" customWidth="1"/>
    <col min="2" max="2" width="11.42578125" bestFit="1" customWidth="1"/>
    <col min="3" max="3" width="29.28515625" bestFit="1" customWidth="1"/>
    <col min="4" max="4" width="13.42578125" bestFit="1" customWidth="1"/>
    <col min="5" max="5" width="12" customWidth="1"/>
    <col min="6" max="9" width="10" bestFit="1" customWidth="1"/>
    <col min="10" max="10" width="12.140625" bestFit="1" customWidth="1"/>
  </cols>
  <sheetData>
    <row r="1" spans="1:26" ht="23.25" x14ac:dyDescent="0.35">
      <c r="A1" s="80" t="s">
        <v>194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29"/>
      <c r="R1" s="28"/>
      <c r="S1" s="28"/>
      <c r="T1" s="28"/>
      <c r="U1" s="28"/>
    </row>
    <row r="2" spans="1:26" s="14" customFormat="1" ht="30" customHeight="1" x14ac:dyDescent="0.25">
      <c r="A2" s="102" t="s">
        <v>18</v>
      </c>
      <c r="B2" s="102"/>
      <c r="C2" s="102" t="s">
        <v>30</v>
      </c>
      <c r="D2" s="103" t="s">
        <v>19</v>
      </c>
      <c r="E2" s="104"/>
      <c r="F2" s="104"/>
      <c r="G2" s="105"/>
      <c r="H2" s="85" t="s">
        <v>0</v>
      </c>
      <c r="I2" s="78" t="s">
        <v>1</v>
      </c>
      <c r="J2" s="78"/>
      <c r="K2" s="78" t="s">
        <v>2</v>
      </c>
      <c r="L2" s="78"/>
      <c r="M2" s="115" t="s">
        <v>3</v>
      </c>
      <c r="N2" s="115"/>
      <c r="O2" s="115"/>
      <c r="P2" s="115"/>
      <c r="Q2" s="115"/>
      <c r="R2" s="115"/>
      <c r="S2" s="92" t="s">
        <v>34</v>
      </c>
      <c r="T2" s="85" t="s">
        <v>35</v>
      </c>
      <c r="V2" s="14" t="s">
        <v>177</v>
      </c>
    </row>
    <row r="3" spans="1:26" s="14" customFormat="1" x14ac:dyDescent="0.25">
      <c r="A3" s="73" t="s">
        <v>20</v>
      </c>
      <c r="B3" s="73" t="s">
        <v>21</v>
      </c>
      <c r="C3" s="102"/>
      <c r="D3" s="10">
        <v>46262</v>
      </c>
      <c r="E3" s="10">
        <v>46263</v>
      </c>
      <c r="F3" s="10">
        <v>46268</v>
      </c>
      <c r="G3" s="10">
        <v>46275</v>
      </c>
      <c r="H3" s="86"/>
      <c r="I3" s="70" t="s">
        <v>4</v>
      </c>
      <c r="J3" s="70" t="s">
        <v>5</v>
      </c>
      <c r="K3" s="70" t="s">
        <v>6</v>
      </c>
      <c r="L3" s="70" t="s">
        <v>7</v>
      </c>
      <c r="M3" s="71" t="s">
        <v>8</v>
      </c>
      <c r="N3" s="5" t="s">
        <v>9</v>
      </c>
      <c r="O3" s="5" t="s">
        <v>27</v>
      </c>
      <c r="P3" s="71" t="s">
        <v>10</v>
      </c>
      <c r="Q3" s="71" t="s">
        <v>11</v>
      </c>
      <c r="R3" s="12" t="s">
        <v>40</v>
      </c>
      <c r="S3" s="93"/>
      <c r="T3" s="86"/>
    </row>
    <row r="4" spans="1:26" s="14" customFormat="1" x14ac:dyDescent="0.25">
      <c r="A4" s="117" t="s">
        <v>12</v>
      </c>
      <c r="B4" s="6" t="s">
        <v>71</v>
      </c>
      <c r="C4" s="7" t="s">
        <v>72</v>
      </c>
      <c r="D4" s="8">
        <v>3619.3538664587618</v>
      </c>
      <c r="E4" s="8"/>
      <c r="F4" s="8"/>
      <c r="G4" s="8">
        <v>117.87543463555984</v>
      </c>
      <c r="H4" s="8" t="s">
        <v>58</v>
      </c>
      <c r="I4" s="8">
        <v>10457.671999999997</v>
      </c>
      <c r="J4" s="8">
        <v>0</v>
      </c>
      <c r="K4" s="8">
        <v>563.1</v>
      </c>
      <c r="L4" s="8">
        <v>0</v>
      </c>
      <c r="M4" s="8"/>
      <c r="N4" s="8"/>
      <c r="O4" s="8"/>
      <c r="P4" s="8"/>
      <c r="Q4" s="8"/>
      <c r="R4" s="8"/>
      <c r="S4" s="13">
        <f>R4+Q4+P4+O4+N4+M4</f>
        <v>0</v>
      </c>
      <c r="T4" s="4" t="s">
        <v>59</v>
      </c>
    </row>
    <row r="5" spans="1:26" s="14" customFormat="1" x14ac:dyDescent="0.25">
      <c r="A5" s="118"/>
      <c r="B5" s="6" t="s">
        <v>55</v>
      </c>
      <c r="C5" s="7" t="s">
        <v>56</v>
      </c>
      <c r="D5" s="8">
        <v>827.98375204458478</v>
      </c>
      <c r="E5" s="8"/>
      <c r="F5" s="8"/>
      <c r="G5" s="8">
        <v>1086.9570453108217</v>
      </c>
      <c r="H5" s="8" t="s">
        <v>58</v>
      </c>
      <c r="I5" s="8">
        <v>4068.9720000000011</v>
      </c>
      <c r="J5" s="8">
        <v>0</v>
      </c>
      <c r="K5" s="8">
        <v>0</v>
      </c>
      <c r="L5" s="8">
        <v>19.704999999999998</v>
      </c>
      <c r="M5" s="8"/>
      <c r="N5" s="8"/>
      <c r="O5" s="8"/>
      <c r="P5" s="8"/>
      <c r="Q5" s="8"/>
      <c r="R5" s="8"/>
      <c r="S5" s="13">
        <f>R5+Q5+P5+O5+N5+M5</f>
        <v>0</v>
      </c>
      <c r="T5" s="4" t="s">
        <v>59</v>
      </c>
      <c r="U5" s="14" t="s">
        <v>96</v>
      </c>
    </row>
    <row r="6" spans="1:26" s="14" customFormat="1" x14ac:dyDescent="0.25">
      <c r="A6" s="118"/>
      <c r="B6" s="6" t="s">
        <v>57</v>
      </c>
      <c r="C6" s="7" t="s">
        <v>33</v>
      </c>
      <c r="D6" s="8">
        <v>1311.9061070209855</v>
      </c>
      <c r="E6" s="8"/>
      <c r="F6" s="8"/>
      <c r="G6" s="8">
        <v>1819.1953917792721</v>
      </c>
      <c r="H6" s="11">
        <f>I6+J6-G6-F6-E6-D6</f>
        <v>-784.70149880025747</v>
      </c>
      <c r="I6" s="8">
        <v>1840.8</v>
      </c>
      <c r="J6" s="8">
        <v>505.59999999999997</v>
      </c>
      <c r="K6" s="8">
        <v>254.62</v>
      </c>
      <c r="L6" s="8">
        <v>0</v>
      </c>
      <c r="M6" s="8"/>
      <c r="N6" s="8">
        <v>851.6</v>
      </c>
      <c r="O6" s="8"/>
      <c r="P6" s="8">
        <v>619</v>
      </c>
      <c r="Q6" s="8"/>
      <c r="R6" s="8"/>
      <c r="S6" s="13">
        <f t="shared" ref="S6" si="0">R6+Q6+P6+O6+N6+M6</f>
        <v>1470.6</v>
      </c>
      <c r="T6" s="4" t="s">
        <v>213</v>
      </c>
    </row>
    <row r="7" spans="1:26" s="14" customFormat="1" x14ac:dyDescent="0.25">
      <c r="A7" s="118"/>
      <c r="B7" s="6" t="s">
        <v>166</v>
      </c>
      <c r="C7" s="7" t="s">
        <v>167</v>
      </c>
      <c r="D7" s="8"/>
      <c r="E7" s="8"/>
      <c r="F7" s="8">
        <v>5.1609209560227596</v>
      </c>
      <c r="G7" s="8"/>
      <c r="H7" s="8" t="s">
        <v>58</v>
      </c>
      <c r="I7" s="8">
        <v>7376.8319999999976</v>
      </c>
      <c r="J7" s="8">
        <v>0</v>
      </c>
      <c r="K7" s="8">
        <v>293.10000000000002</v>
      </c>
      <c r="L7" s="8">
        <v>0</v>
      </c>
      <c r="M7" s="8"/>
      <c r="N7" s="8"/>
      <c r="O7" s="8"/>
      <c r="P7" s="8"/>
      <c r="Q7" s="8"/>
      <c r="R7" s="8"/>
      <c r="S7" s="13">
        <f t="shared" ref="S7:S8" si="1">R7+Q7+P7+O7+N7+M7</f>
        <v>0</v>
      </c>
      <c r="T7" s="4" t="s">
        <v>59</v>
      </c>
    </row>
    <row r="8" spans="1:26" s="14" customFormat="1" x14ac:dyDescent="0.25">
      <c r="A8" s="118"/>
      <c r="B8" s="6" t="s">
        <v>60</v>
      </c>
      <c r="C8" s="7" t="s">
        <v>61</v>
      </c>
      <c r="D8" s="8"/>
      <c r="E8" s="8">
        <v>536.13367198149774</v>
      </c>
      <c r="F8" s="8">
        <v>152.4191989012055</v>
      </c>
      <c r="G8" s="8"/>
      <c r="H8" s="11">
        <f t="shared" ref="H8" si="2">I8+J8-G8-F8-E8-D8</f>
        <v>-688.55287088270325</v>
      </c>
      <c r="I8" s="8">
        <v>0</v>
      </c>
      <c r="J8" s="8">
        <v>0</v>
      </c>
      <c r="K8" s="8">
        <v>8.02</v>
      </c>
      <c r="L8" s="8">
        <v>449.29999999999984</v>
      </c>
      <c r="M8" s="8"/>
      <c r="N8" s="8"/>
      <c r="O8" s="8">
        <v>476.5</v>
      </c>
      <c r="P8" s="8"/>
      <c r="Q8" s="8">
        <v>422</v>
      </c>
      <c r="R8" s="8"/>
      <c r="S8" s="13">
        <f t="shared" si="1"/>
        <v>898.5</v>
      </c>
      <c r="T8" s="4" t="s">
        <v>214</v>
      </c>
    </row>
    <row r="9" spans="1:26" s="14" customFormat="1" ht="32.25" customHeight="1" x14ac:dyDescent="0.25">
      <c r="A9" s="108" t="s">
        <v>197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32"/>
      <c r="V9" s="32"/>
      <c r="W9" s="32"/>
      <c r="X9" s="27"/>
      <c r="Y9" s="27"/>
      <c r="Z9" s="27"/>
    </row>
    <row r="10" spans="1:26" x14ac:dyDescent="0.25">
      <c r="A10" s="102" t="s">
        <v>18</v>
      </c>
      <c r="B10" s="102"/>
      <c r="C10" s="102" t="s">
        <v>30</v>
      </c>
      <c r="D10" s="94" t="s">
        <v>19</v>
      </c>
      <c r="E10" s="96"/>
      <c r="F10" s="85" t="s">
        <v>0</v>
      </c>
      <c r="G10" s="87" t="s">
        <v>1</v>
      </c>
      <c r="H10" s="88"/>
      <c r="I10" s="87" t="s">
        <v>2</v>
      </c>
      <c r="J10" s="88"/>
      <c r="K10" s="89" t="s">
        <v>3</v>
      </c>
      <c r="L10" s="90"/>
      <c r="M10" s="90"/>
      <c r="N10" s="90"/>
      <c r="O10" s="90"/>
      <c r="P10" s="91"/>
      <c r="Q10" s="92" t="s">
        <v>34</v>
      </c>
      <c r="R10" s="98" t="s">
        <v>35</v>
      </c>
      <c r="S10" s="25"/>
    </row>
    <row r="11" spans="1:26" x14ac:dyDescent="0.25">
      <c r="A11" s="73" t="s">
        <v>20</v>
      </c>
      <c r="B11" s="73" t="s">
        <v>21</v>
      </c>
      <c r="C11" s="102"/>
      <c r="D11" s="10">
        <v>46263</v>
      </c>
      <c r="E11" s="10">
        <v>46268</v>
      </c>
      <c r="F11" s="86"/>
      <c r="G11" s="70" t="s">
        <v>4</v>
      </c>
      <c r="H11" s="70" t="s">
        <v>5</v>
      </c>
      <c r="I11" s="70" t="s">
        <v>6</v>
      </c>
      <c r="J11" s="70" t="s">
        <v>7</v>
      </c>
      <c r="K11" s="71" t="s">
        <v>8</v>
      </c>
      <c r="L11" s="5" t="s">
        <v>9</v>
      </c>
      <c r="M11" s="5" t="s">
        <v>27</v>
      </c>
      <c r="N11" s="71" t="s">
        <v>10</v>
      </c>
      <c r="O11" s="71" t="s">
        <v>11</v>
      </c>
      <c r="P11" s="12" t="s">
        <v>95</v>
      </c>
      <c r="Q11" s="93"/>
      <c r="R11" s="98"/>
      <c r="S11" s="25"/>
    </row>
    <row r="12" spans="1:26" x14ac:dyDescent="0.25">
      <c r="A12" s="106" t="s">
        <v>25</v>
      </c>
      <c r="B12" s="6" t="s">
        <v>159</v>
      </c>
      <c r="C12" s="7" t="s">
        <v>33</v>
      </c>
      <c r="D12" s="8">
        <v>7640.982670402298</v>
      </c>
      <c r="E12" s="8">
        <v>4995.9596021667594</v>
      </c>
      <c r="F12" s="8" t="s">
        <v>58</v>
      </c>
      <c r="G12" s="8">
        <v>15189.986000000006</v>
      </c>
      <c r="H12" s="8">
        <v>13495.800000000005</v>
      </c>
      <c r="I12" s="8">
        <v>102.26</v>
      </c>
      <c r="J12" s="8">
        <v>443.54000000000008</v>
      </c>
      <c r="K12" s="13">
        <v>3302.4189999999999</v>
      </c>
      <c r="L12" s="13">
        <v>11555</v>
      </c>
      <c r="M12" s="13">
        <v>1647</v>
      </c>
      <c r="N12" s="13"/>
      <c r="O12" s="13"/>
      <c r="P12" s="13"/>
      <c r="Q12" s="13">
        <f t="shared" ref="Q12:Q13" si="3">P12+O12+N12+M12+L12+K12</f>
        <v>16504.419000000002</v>
      </c>
      <c r="R12" s="4" t="s">
        <v>59</v>
      </c>
      <c r="S12" s="25"/>
    </row>
    <row r="13" spans="1:26" x14ac:dyDescent="0.25">
      <c r="A13" s="107"/>
      <c r="B13" s="6" t="s">
        <v>100</v>
      </c>
      <c r="C13" s="7" t="s">
        <v>101</v>
      </c>
      <c r="D13" s="8"/>
      <c r="E13" s="8">
        <v>805.00702076733762</v>
      </c>
      <c r="F13" s="8" t="s">
        <v>58</v>
      </c>
      <c r="G13" s="8">
        <v>5263.8800000000028</v>
      </c>
      <c r="H13" s="8">
        <v>1605.0799999999992</v>
      </c>
      <c r="I13" s="8">
        <v>2052.83</v>
      </c>
      <c r="J13" s="8">
        <v>1561.25</v>
      </c>
      <c r="K13" s="13">
        <v>3617.5</v>
      </c>
      <c r="L13" s="13"/>
      <c r="M13" s="13"/>
      <c r="N13" s="13"/>
      <c r="O13" s="13"/>
      <c r="P13" s="13"/>
      <c r="Q13" s="13">
        <f t="shared" si="3"/>
        <v>3617.5</v>
      </c>
      <c r="R13" s="4" t="s">
        <v>59</v>
      </c>
      <c r="S13" s="25"/>
    </row>
    <row r="14" spans="1:26" x14ac:dyDescent="0.25">
      <c r="A14" s="107"/>
      <c r="B14" s="6" t="s">
        <v>102</v>
      </c>
      <c r="C14" s="7" t="s">
        <v>103</v>
      </c>
      <c r="D14" s="8"/>
      <c r="E14" s="8">
        <v>2439.6014293483436</v>
      </c>
      <c r="F14" s="8" t="s">
        <v>58</v>
      </c>
      <c r="G14" s="8">
        <v>11299.569999999998</v>
      </c>
      <c r="H14" s="8">
        <v>1129.3699999999997</v>
      </c>
      <c r="I14" s="8">
        <v>46.480000000000004</v>
      </c>
      <c r="J14" s="8">
        <v>0</v>
      </c>
      <c r="K14" s="13"/>
      <c r="L14" s="13">
        <v>2428</v>
      </c>
      <c r="M14" s="13"/>
      <c r="N14" s="13">
        <v>1186.5</v>
      </c>
      <c r="O14" s="13"/>
      <c r="P14" s="13"/>
      <c r="Q14" s="13">
        <f>P14+O14+N14+M14+L14+K14</f>
        <v>3614.5</v>
      </c>
      <c r="R14" s="4" t="s">
        <v>59</v>
      </c>
      <c r="S14" s="25"/>
    </row>
    <row r="15" spans="1:26" x14ac:dyDescent="0.25">
      <c r="A15" s="107"/>
      <c r="B15" s="6" t="s">
        <v>104</v>
      </c>
      <c r="C15" s="7" t="s">
        <v>105</v>
      </c>
      <c r="D15" s="8">
        <v>2793.7123421095484</v>
      </c>
      <c r="E15" s="8">
        <v>1100.4103604491361</v>
      </c>
      <c r="F15" s="11">
        <f>G15+H15-D15-E15</f>
        <v>-3894.1227025586845</v>
      </c>
      <c r="G15" s="8">
        <v>0</v>
      </c>
      <c r="H15" s="8">
        <v>0</v>
      </c>
      <c r="I15" s="8">
        <v>3.54</v>
      </c>
      <c r="J15" s="8">
        <v>0</v>
      </c>
      <c r="K15" s="13"/>
      <c r="L15" s="13"/>
      <c r="M15" s="13"/>
      <c r="N15" s="13">
        <v>3314.5</v>
      </c>
      <c r="O15" s="13">
        <v>1146</v>
      </c>
      <c r="P15" s="13"/>
      <c r="Q15" s="13">
        <f t="shared" ref="Q15:Q17" si="4">P15+O15+N15+M15+L15+K15</f>
        <v>4460.5</v>
      </c>
      <c r="R15" s="4" t="s">
        <v>214</v>
      </c>
      <c r="S15" s="25"/>
    </row>
    <row r="16" spans="1:26" x14ac:dyDescent="0.25">
      <c r="A16" s="107"/>
      <c r="B16" s="6" t="s">
        <v>69</v>
      </c>
      <c r="C16" s="7" t="s">
        <v>70</v>
      </c>
      <c r="D16" s="8">
        <v>2797.8997832099412</v>
      </c>
      <c r="E16" s="8">
        <v>571.49353382719391</v>
      </c>
      <c r="F16" s="11">
        <f t="shared" ref="F16:F17" si="5">G16+H16-D16-E16</f>
        <v>-3349.4733170371351</v>
      </c>
      <c r="G16" s="8">
        <v>19.920000000000002</v>
      </c>
      <c r="H16" s="8">
        <v>0</v>
      </c>
      <c r="I16" s="8">
        <v>15.58</v>
      </c>
      <c r="J16" s="8">
        <v>0</v>
      </c>
      <c r="K16" s="13"/>
      <c r="L16" s="13"/>
      <c r="M16" s="13"/>
      <c r="N16" s="13">
        <v>4515</v>
      </c>
      <c r="O16" s="13"/>
      <c r="P16" s="13"/>
      <c r="Q16" s="13">
        <f t="shared" si="4"/>
        <v>4515</v>
      </c>
      <c r="R16" s="4" t="s">
        <v>193</v>
      </c>
      <c r="S16" s="25"/>
    </row>
    <row r="17" spans="1:26" x14ac:dyDescent="0.25">
      <c r="A17" s="107"/>
      <c r="B17" s="6" t="s">
        <v>145</v>
      </c>
      <c r="C17" s="7" t="s">
        <v>146</v>
      </c>
      <c r="D17" s="8">
        <v>2066.8226056857025</v>
      </c>
      <c r="E17" s="8">
        <v>380.5567540923019</v>
      </c>
      <c r="F17" s="11">
        <f t="shared" si="5"/>
        <v>-2447.3793597780045</v>
      </c>
      <c r="G17" s="8"/>
      <c r="H17" s="8"/>
      <c r="I17" s="8"/>
      <c r="J17" s="8"/>
      <c r="K17" s="13"/>
      <c r="L17" s="13">
        <v>1503</v>
      </c>
      <c r="M17" s="13"/>
      <c r="N17" s="13">
        <v>1481.5</v>
      </c>
      <c r="O17" s="13"/>
      <c r="P17" s="13"/>
      <c r="Q17" s="13">
        <f t="shared" si="4"/>
        <v>2984.5</v>
      </c>
      <c r="R17" s="4" t="s">
        <v>193</v>
      </c>
      <c r="S17" s="25"/>
    </row>
    <row r="18" spans="1:26" s="14" customFormat="1" ht="77.25" customHeight="1" x14ac:dyDescent="0.25">
      <c r="A18" s="110" t="s">
        <v>196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32"/>
      <c r="T18" s="32"/>
      <c r="U18" s="32"/>
      <c r="V18" s="32"/>
      <c r="W18" s="32"/>
      <c r="X18" s="27"/>
      <c r="Y18" s="27"/>
      <c r="Z18" s="27"/>
    </row>
    <row r="19" spans="1:26" s="14" customFormat="1" x14ac:dyDescent="0.25">
      <c r="A19" s="81" t="s">
        <v>18</v>
      </c>
      <c r="B19" s="82"/>
      <c r="C19" s="83" t="s">
        <v>30</v>
      </c>
      <c r="D19" s="94" t="s">
        <v>19</v>
      </c>
      <c r="E19" s="95"/>
      <c r="F19" s="95"/>
      <c r="G19" s="95"/>
      <c r="H19" s="96"/>
      <c r="I19" s="85" t="s">
        <v>0</v>
      </c>
      <c r="J19" s="87" t="s">
        <v>1</v>
      </c>
      <c r="K19" s="88"/>
      <c r="L19" s="87" t="s">
        <v>2</v>
      </c>
      <c r="M19" s="88"/>
      <c r="N19" s="89" t="s">
        <v>3</v>
      </c>
      <c r="O19" s="90"/>
      <c r="P19" s="90"/>
      <c r="Q19" s="90"/>
      <c r="R19" s="90"/>
      <c r="S19" s="91"/>
      <c r="T19" s="92" t="s">
        <v>34</v>
      </c>
      <c r="U19" s="98" t="s">
        <v>35</v>
      </c>
      <c r="V19" s="26"/>
      <c r="W19" s="26"/>
    </row>
    <row r="20" spans="1:26" s="14" customFormat="1" x14ac:dyDescent="0.25">
      <c r="A20" s="73" t="s">
        <v>20</v>
      </c>
      <c r="B20" s="73" t="s">
        <v>21</v>
      </c>
      <c r="C20" s="84"/>
      <c r="D20" s="10">
        <v>46260</v>
      </c>
      <c r="E20" s="10">
        <v>46261</v>
      </c>
      <c r="F20" s="10">
        <v>46263</v>
      </c>
      <c r="G20" s="10">
        <v>46268</v>
      </c>
      <c r="H20" s="10">
        <v>46269</v>
      </c>
      <c r="I20" s="86"/>
      <c r="J20" s="70" t="s">
        <v>4</v>
      </c>
      <c r="K20" s="70" t="s">
        <v>5</v>
      </c>
      <c r="L20" s="70" t="s">
        <v>6</v>
      </c>
      <c r="M20" s="70" t="s">
        <v>7</v>
      </c>
      <c r="N20" s="71" t="s">
        <v>8</v>
      </c>
      <c r="O20" s="5" t="s">
        <v>9</v>
      </c>
      <c r="P20" s="5" t="s">
        <v>27</v>
      </c>
      <c r="Q20" s="71" t="s">
        <v>10</v>
      </c>
      <c r="R20" s="71" t="s">
        <v>11</v>
      </c>
      <c r="S20" s="12" t="s">
        <v>95</v>
      </c>
      <c r="T20" s="93"/>
      <c r="U20" s="98"/>
      <c r="V20" s="26"/>
      <c r="W20" s="26"/>
    </row>
    <row r="21" spans="1:26" s="14" customFormat="1" x14ac:dyDescent="0.25">
      <c r="A21" s="99" t="s">
        <v>62</v>
      </c>
      <c r="B21" s="6" t="s">
        <v>63</v>
      </c>
      <c r="C21" s="7" t="s">
        <v>64</v>
      </c>
      <c r="D21" s="8"/>
      <c r="E21" s="8"/>
      <c r="F21" s="8">
        <v>333.5224169082735</v>
      </c>
      <c r="G21" s="8">
        <v>560.4977400010805</v>
      </c>
      <c r="H21" s="8"/>
      <c r="I21" s="11">
        <f>J21+K21-H21-G21-F21-E21-D21</f>
        <v>-444.85015690935415</v>
      </c>
      <c r="J21" s="8">
        <v>449.16999999999985</v>
      </c>
      <c r="K21" s="8">
        <v>0</v>
      </c>
      <c r="L21" s="8">
        <v>19.14</v>
      </c>
      <c r="M21" s="8">
        <v>0</v>
      </c>
      <c r="N21" s="13"/>
      <c r="O21" s="13"/>
      <c r="P21" s="13"/>
      <c r="Q21" s="13"/>
      <c r="R21" s="13">
        <v>1343</v>
      </c>
      <c r="S21" s="13"/>
      <c r="T21" s="13">
        <f t="shared" ref="T21:T39" si="6">S21+R21+Q21+P21+O21+N21</f>
        <v>1343</v>
      </c>
      <c r="U21" s="4" t="s">
        <v>214</v>
      </c>
      <c r="V21" s="26"/>
      <c r="W21" s="26"/>
    </row>
    <row r="22" spans="1:26" s="14" customFormat="1" x14ac:dyDescent="0.25">
      <c r="A22" s="100"/>
      <c r="B22" s="6" t="s">
        <v>65</v>
      </c>
      <c r="C22" s="7" t="s">
        <v>66</v>
      </c>
      <c r="D22" s="8"/>
      <c r="E22" s="8">
        <v>3978.0708072968255</v>
      </c>
      <c r="F22" s="8">
        <v>405.74183789234843</v>
      </c>
      <c r="G22" s="8">
        <v>411.74449106505079</v>
      </c>
      <c r="H22" s="8"/>
      <c r="I22" s="8" t="s">
        <v>58</v>
      </c>
      <c r="J22" s="8">
        <v>15057.175999999994</v>
      </c>
      <c r="K22" s="8">
        <v>5711.2</v>
      </c>
      <c r="L22" s="8">
        <v>369.91</v>
      </c>
      <c r="M22" s="8">
        <v>0</v>
      </c>
      <c r="N22" s="13"/>
      <c r="O22" s="13"/>
      <c r="P22" s="13"/>
      <c r="Q22" s="13"/>
      <c r="R22" s="13"/>
      <c r="S22" s="13">
        <v>1369</v>
      </c>
      <c r="T22" s="13">
        <f t="shared" si="6"/>
        <v>1369</v>
      </c>
      <c r="U22" s="4" t="s">
        <v>59</v>
      </c>
      <c r="V22" s="26"/>
      <c r="W22" s="26"/>
    </row>
    <row r="23" spans="1:26" s="14" customFormat="1" x14ac:dyDescent="0.25">
      <c r="A23" s="100"/>
      <c r="B23" s="6" t="s">
        <v>67</v>
      </c>
      <c r="C23" s="7" t="s">
        <v>68</v>
      </c>
      <c r="D23" s="8"/>
      <c r="E23" s="8">
        <v>93.791455823473981</v>
      </c>
      <c r="F23" s="8">
        <v>743.39107885685485</v>
      </c>
      <c r="G23" s="8">
        <v>10572.360483333636</v>
      </c>
      <c r="H23" s="8">
        <v>2903.9710552064012</v>
      </c>
      <c r="I23" s="11">
        <f t="shared" ref="I23:I39" si="7">J23+K23-H23-G23-F23-E23-D23</f>
        <v>-151.78407322035122</v>
      </c>
      <c r="J23" s="8">
        <v>9403.9800000000123</v>
      </c>
      <c r="K23" s="8">
        <v>4757.7500000000009</v>
      </c>
      <c r="L23" s="8">
        <v>0</v>
      </c>
      <c r="M23" s="8">
        <v>18.239999999999998</v>
      </c>
      <c r="N23" s="13"/>
      <c r="O23" s="13">
        <v>2971.5</v>
      </c>
      <c r="P23" s="13">
        <v>1511</v>
      </c>
      <c r="Q23" s="13">
        <v>10490.5</v>
      </c>
      <c r="R23" s="13">
        <v>2967</v>
      </c>
      <c r="S23" s="13"/>
      <c r="T23" s="13">
        <f>S23+R23+Q23+P23+O23+N23</f>
        <v>17940</v>
      </c>
      <c r="U23" s="4" t="s">
        <v>213</v>
      </c>
      <c r="V23" s="26"/>
      <c r="W23" s="26"/>
    </row>
    <row r="24" spans="1:26" s="14" customFormat="1" x14ac:dyDescent="0.25">
      <c r="A24" s="100"/>
      <c r="B24" s="6" t="s">
        <v>41</v>
      </c>
      <c r="C24" s="7" t="s">
        <v>42</v>
      </c>
      <c r="D24" s="8"/>
      <c r="E24" s="8"/>
      <c r="F24" s="8"/>
      <c r="G24" s="8">
        <v>1246.3008649823223</v>
      </c>
      <c r="H24" s="8">
        <v>2007.9906568703366</v>
      </c>
      <c r="I24" s="8" t="s">
        <v>58</v>
      </c>
      <c r="J24" s="8">
        <v>3472.969999999998</v>
      </c>
      <c r="K24" s="8">
        <v>0</v>
      </c>
      <c r="L24" s="8">
        <v>70.53</v>
      </c>
      <c r="M24" s="8">
        <v>2362.9199999999996</v>
      </c>
      <c r="N24" s="13">
        <v>1360</v>
      </c>
      <c r="O24" s="13">
        <v>848.85</v>
      </c>
      <c r="P24" s="13"/>
      <c r="Q24" s="13"/>
      <c r="R24" s="13"/>
      <c r="S24" s="13"/>
      <c r="T24" s="13">
        <f t="shared" si="6"/>
        <v>2208.85</v>
      </c>
      <c r="U24" s="4" t="s">
        <v>59</v>
      </c>
      <c r="V24" s="26"/>
      <c r="W24" s="26"/>
    </row>
    <row r="25" spans="1:26" s="14" customFormat="1" x14ac:dyDescent="0.25">
      <c r="A25" s="100"/>
      <c r="B25" s="6" t="s">
        <v>51</v>
      </c>
      <c r="C25" s="7" t="s">
        <v>52</v>
      </c>
      <c r="D25" s="8"/>
      <c r="E25" s="8">
        <v>1871.2558450835268</v>
      </c>
      <c r="F25" s="8">
        <v>1672.1140744208942</v>
      </c>
      <c r="G25" s="8">
        <v>17417.260929330769</v>
      </c>
      <c r="H25" s="8"/>
      <c r="I25" s="11">
        <f t="shared" si="7"/>
        <v>-5102.2608488351834</v>
      </c>
      <c r="J25" s="8">
        <v>5935.9099999999989</v>
      </c>
      <c r="K25" s="8">
        <v>9922.4600000000064</v>
      </c>
      <c r="L25" s="8">
        <v>1751.44</v>
      </c>
      <c r="M25" s="8">
        <v>1906.5500000000009</v>
      </c>
      <c r="N25" s="13"/>
      <c r="O25" s="13">
        <v>4211.2210000000005</v>
      </c>
      <c r="P25" s="13"/>
      <c r="Q25" s="13">
        <v>14915.223</v>
      </c>
      <c r="R25" s="13"/>
      <c r="S25" s="13"/>
      <c r="T25" s="13">
        <f t="shared" si="6"/>
        <v>19126.444</v>
      </c>
      <c r="U25" s="4" t="s">
        <v>193</v>
      </c>
      <c r="V25" s="26"/>
      <c r="W25" s="26"/>
    </row>
    <row r="26" spans="1:26" s="14" customFormat="1" x14ac:dyDescent="0.25">
      <c r="A26" s="100"/>
      <c r="B26" s="6" t="s">
        <v>29</v>
      </c>
      <c r="C26" s="7" t="s">
        <v>31</v>
      </c>
      <c r="D26" s="8"/>
      <c r="E26" s="8"/>
      <c r="F26" s="8">
        <v>211.59352433775729</v>
      </c>
      <c r="G26" s="8">
        <v>36.015919036214008</v>
      </c>
      <c r="H26" s="8"/>
      <c r="I26" s="8" t="s">
        <v>58</v>
      </c>
      <c r="J26" s="8">
        <v>3546.9199999999973</v>
      </c>
      <c r="K26" s="8">
        <v>0</v>
      </c>
      <c r="L26" s="8">
        <v>0</v>
      </c>
      <c r="M26" s="8">
        <v>266.85999999999996</v>
      </c>
      <c r="N26" s="13"/>
      <c r="O26" s="13"/>
      <c r="P26" s="13"/>
      <c r="Q26" s="13"/>
      <c r="R26" s="13"/>
      <c r="S26" s="13"/>
      <c r="T26" s="13">
        <f t="shared" si="6"/>
        <v>0</v>
      </c>
      <c r="U26" s="4" t="s">
        <v>59</v>
      </c>
      <c r="V26" s="26"/>
      <c r="W26" s="26"/>
    </row>
    <row r="27" spans="1:26" s="14" customFormat="1" x14ac:dyDescent="0.25">
      <c r="A27" s="100"/>
      <c r="B27" s="6" t="s">
        <v>136</v>
      </c>
      <c r="C27" s="7" t="s">
        <v>137</v>
      </c>
      <c r="D27" s="8"/>
      <c r="E27" s="8"/>
      <c r="F27" s="8">
        <v>49.334305763147313</v>
      </c>
      <c r="G27" s="8">
        <v>51.585300702910686</v>
      </c>
      <c r="H27" s="8"/>
      <c r="I27" s="8" t="s">
        <v>58</v>
      </c>
      <c r="J27" s="8">
        <v>509.69799999999998</v>
      </c>
      <c r="K27" s="8">
        <v>0</v>
      </c>
      <c r="L27" s="8">
        <v>0</v>
      </c>
      <c r="M27" s="8">
        <v>0</v>
      </c>
      <c r="N27" s="13"/>
      <c r="O27" s="13"/>
      <c r="P27" s="13"/>
      <c r="Q27" s="13"/>
      <c r="R27" s="13"/>
      <c r="S27" s="13"/>
      <c r="T27" s="13">
        <f t="shared" si="6"/>
        <v>0</v>
      </c>
      <c r="U27" s="4" t="s">
        <v>59</v>
      </c>
      <c r="V27" s="26"/>
      <c r="W27" s="26"/>
    </row>
    <row r="28" spans="1:26" s="14" customFormat="1" x14ac:dyDescent="0.25">
      <c r="A28" s="100"/>
      <c r="B28" s="6" t="s">
        <v>153</v>
      </c>
      <c r="C28" s="7" t="s">
        <v>154</v>
      </c>
      <c r="D28" s="8"/>
      <c r="E28" s="8"/>
      <c r="F28" s="8"/>
      <c r="G28" s="8">
        <v>447.19766136632393</v>
      </c>
      <c r="H28" s="8"/>
      <c r="I28" s="8" t="s">
        <v>58</v>
      </c>
      <c r="J28" s="8">
        <v>1610.7399999999998</v>
      </c>
      <c r="K28" s="8">
        <v>0</v>
      </c>
      <c r="L28" s="8">
        <v>0</v>
      </c>
      <c r="M28" s="8">
        <v>1219.6999999999998</v>
      </c>
      <c r="N28" s="13"/>
      <c r="O28" s="13"/>
      <c r="P28" s="13"/>
      <c r="Q28" s="13"/>
      <c r="R28" s="13"/>
      <c r="S28" s="13"/>
      <c r="T28" s="13">
        <f t="shared" si="6"/>
        <v>0</v>
      </c>
      <c r="U28" s="4" t="s">
        <v>59</v>
      </c>
      <c r="V28" s="26"/>
      <c r="W28" s="26"/>
    </row>
    <row r="29" spans="1:26" s="14" customFormat="1" x14ac:dyDescent="0.25">
      <c r="A29" s="100"/>
      <c r="B29" s="6" t="s">
        <v>43</v>
      </c>
      <c r="C29" s="7" t="s">
        <v>44</v>
      </c>
      <c r="D29" s="8"/>
      <c r="E29" s="8">
        <v>281.37436747042193</v>
      </c>
      <c r="F29" s="8"/>
      <c r="G29" s="8">
        <v>181.01750973930478</v>
      </c>
      <c r="H29" s="8">
        <v>2960.4335116121329</v>
      </c>
      <c r="I29" s="8" t="s">
        <v>58</v>
      </c>
      <c r="J29" s="8">
        <v>8386.9500000000007</v>
      </c>
      <c r="K29" s="8">
        <v>150.98000000000002</v>
      </c>
      <c r="L29" s="8">
        <v>8.69</v>
      </c>
      <c r="M29" s="8">
        <v>0</v>
      </c>
      <c r="N29" s="13"/>
      <c r="O29" s="13"/>
      <c r="P29" s="13"/>
      <c r="Q29" s="13"/>
      <c r="R29" s="13"/>
      <c r="S29" s="13"/>
      <c r="T29" s="13">
        <f t="shared" si="6"/>
        <v>0</v>
      </c>
      <c r="U29" s="4" t="s">
        <v>59</v>
      </c>
      <c r="V29" s="26"/>
      <c r="W29" s="26"/>
    </row>
    <row r="30" spans="1:26" s="14" customFormat="1" x14ac:dyDescent="0.25">
      <c r="A30" s="100"/>
      <c r="B30" s="6" t="s">
        <v>26</v>
      </c>
      <c r="C30" s="7" t="s">
        <v>32</v>
      </c>
      <c r="D30" s="8"/>
      <c r="E30" s="8">
        <v>356.40753212920112</v>
      </c>
      <c r="F30" s="8"/>
      <c r="G30" s="8">
        <v>336.14857767133071</v>
      </c>
      <c r="H30" s="8">
        <v>2948.6157881783752</v>
      </c>
      <c r="I30" s="11">
        <f t="shared" si="7"/>
        <v>-343.83189797890867</v>
      </c>
      <c r="J30" s="8">
        <v>3297.3399999999983</v>
      </c>
      <c r="K30" s="8">
        <v>0</v>
      </c>
      <c r="L30" s="8">
        <v>2458.3100000000004</v>
      </c>
      <c r="M30" s="8">
        <v>0</v>
      </c>
      <c r="N30" s="13"/>
      <c r="O30" s="13"/>
      <c r="P30" s="13"/>
      <c r="Q30" s="13"/>
      <c r="R30" s="13"/>
      <c r="S30" s="13"/>
      <c r="T30" s="13">
        <f t="shared" si="6"/>
        <v>0</v>
      </c>
      <c r="U30" s="4" t="s">
        <v>213</v>
      </c>
      <c r="V30" s="26"/>
      <c r="W30" s="26"/>
    </row>
    <row r="31" spans="1:26" s="14" customFormat="1" x14ac:dyDescent="0.25">
      <c r="A31" s="100"/>
      <c r="B31" s="6" t="s">
        <v>53</v>
      </c>
      <c r="C31" s="7" t="s">
        <v>54</v>
      </c>
      <c r="D31" s="8"/>
      <c r="E31" s="8">
        <v>1439.5112639786787</v>
      </c>
      <c r="F31" s="8"/>
      <c r="G31" s="8">
        <v>374.22790873566117</v>
      </c>
      <c r="H31" s="8"/>
      <c r="I31" s="8" t="s">
        <v>58</v>
      </c>
      <c r="J31" s="8">
        <v>2376.9499999999994</v>
      </c>
      <c r="K31" s="8">
        <v>0</v>
      </c>
      <c r="L31" s="8">
        <v>0</v>
      </c>
      <c r="M31" s="8">
        <v>0</v>
      </c>
      <c r="N31" s="13"/>
      <c r="O31" s="13"/>
      <c r="P31" s="13"/>
      <c r="Q31" s="13"/>
      <c r="R31" s="13"/>
      <c r="S31" s="13"/>
      <c r="T31" s="13">
        <f t="shared" si="6"/>
        <v>0</v>
      </c>
      <c r="U31" s="4" t="s">
        <v>59</v>
      </c>
      <c r="V31" s="26"/>
      <c r="W31" s="26"/>
    </row>
    <row r="32" spans="1:26" s="14" customFormat="1" x14ac:dyDescent="0.25">
      <c r="A32" s="100"/>
      <c r="B32" s="6" t="s">
        <v>155</v>
      </c>
      <c r="C32" s="7" t="s">
        <v>156</v>
      </c>
      <c r="D32" s="8"/>
      <c r="E32" s="8"/>
      <c r="F32" s="8"/>
      <c r="G32" s="8">
        <v>122.67922421710398</v>
      </c>
      <c r="H32" s="8"/>
      <c r="I32" s="8" t="s">
        <v>58</v>
      </c>
      <c r="J32" s="8">
        <v>1599.1600000000003</v>
      </c>
      <c r="K32" s="8">
        <v>588.59999999999991</v>
      </c>
      <c r="L32" s="8">
        <v>10.15</v>
      </c>
      <c r="M32" s="8">
        <v>0</v>
      </c>
      <c r="N32" s="13"/>
      <c r="O32" s="13"/>
      <c r="P32" s="13"/>
      <c r="Q32" s="13"/>
      <c r="R32" s="13"/>
      <c r="S32" s="13"/>
      <c r="T32" s="13">
        <f t="shared" si="6"/>
        <v>0</v>
      </c>
      <c r="U32" s="4" t="s">
        <v>59</v>
      </c>
      <c r="V32" s="26"/>
      <c r="W32" s="26"/>
    </row>
    <row r="33" spans="1:23" s="14" customFormat="1" x14ac:dyDescent="0.25">
      <c r="A33" s="100"/>
      <c r="B33" s="6" t="s">
        <v>157</v>
      </c>
      <c r="C33" s="7" t="s">
        <v>158</v>
      </c>
      <c r="D33" s="8"/>
      <c r="E33" s="8"/>
      <c r="F33" s="8"/>
      <c r="G33" s="8">
        <v>264.86707124549054</v>
      </c>
      <c r="H33" s="8"/>
      <c r="I33" s="8" t="s">
        <v>58</v>
      </c>
      <c r="J33" s="8">
        <v>2346.7399999999998</v>
      </c>
      <c r="K33" s="8">
        <v>0</v>
      </c>
      <c r="L33" s="8">
        <v>0</v>
      </c>
      <c r="M33" s="8">
        <v>5.48</v>
      </c>
      <c r="N33" s="13"/>
      <c r="O33" s="13"/>
      <c r="P33" s="13"/>
      <c r="Q33" s="13"/>
      <c r="R33" s="13"/>
      <c r="S33" s="13"/>
      <c r="T33" s="13">
        <f t="shared" si="6"/>
        <v>0</v>
      </c>
      <c r="U33" s="4" t="s">
        <v>59</v>
      </c>
      <c r="V33" s="26"/>
      <c r="W33" s="26"/>
    </row>
    <row r="34" spans="1:23" s="14" customFormat="1" x14ac:dyDescent="0.25">
      <c r="A34" s="100"/>
      <c r="B34" s="6" t="s">
        <v>36</v>
      </c>
      <c r="C34" s="7" t="s">
        <v>37</v>
      </c>
      <c r="D34" s="8"/>
      <c r="E34" s="8">
        <v>121.92889257051617</v>
      </c>
      <c r="F34" s="8">
        <v>112.54974698816878</v>
      </c>
      <c r="G34" s="8">
        <v>1266.1846536168989</v>
      </c>
      <c r="H34" s="8"/>
      <c r="I34" s="8" t="s">
        <v>58</v>
      </c>
      <c r="J34" s="8">
        <v>18827.310000000041</v>
      </c>
      <c r="K34" s="8">
        <v>0</v>
      </c>
      <c r="L34" s="8">
        <v>0</v>
      </c>
      <c r="M34" s="8">
        <v>0</v>
      </c>
      <c r="N34" s="13"/>
      <c r="O34" s="13"/>
      <c r="P34" s="13"/>
      <c r="Q34" s="13"/>
      <c r="R34" s="13"/>
      <c r="S34" s="13"/>
      <c r="T34" s="13">
        <f t="shared" si="6"/>
        <v>0</v>
      </c>
      <c r="U34" s="4" t="s">
        <v>59</v>
      </c>
      <c r="V34" s="26"/>
      <c r="W34" s="26"/>
    </row>
    <row r="35" spans="1:23" s="14" customFormat="1" x14ac:dyDescent="0.25">
      <c r="A35" s="100"/>
      <c r="B35" s="6" t="s">
        <v>45</v>
      </c>
      <c r="C35" s="7" t="s">
        <v>46</v>
      </c>
      <c r="D35" s="8"/>
      <c r="E35" s="8">
        <v>393.92411445859074</v>
      </c>
      <c r="F35" s="8"/>
      <c r="G35" s="8">
        <v>149.31599767097057</v>
      </c>
      <c r="H35" s="8">
        <v>2959.4955970538981</v>
      </c>
      <c r="I35" s="11">
        <f t="shared" si="7"/>
        <v>-1468.8557091834591</v>
      </c>
      <c r="J35" s="8">
        <v>2013.9400000000003</v>
      </c>
      <c r="K35" s="8">
        <v>19.940000000000001</v>
      </c>
      <c r="L35" s="8">
        <v>2359.4299999999985</v>
      </c>
      <c r="M35" s="8">
        <v>0</v>
      </c>
      <c r="N35" s="13">
        <v>1342.5</v>
      </c>
      <c r="O35" s="13"/>
      <c r="P35" s="13"/>
      <c r="Q35" s="13"/>
      <c r="R35" s="13"/>
      <c r="S35" s="13"/>
      <c r="T35" s="13">
        <f t="shared" si="6"/>
        <v>1342.5</v>
      </c>
      <c r="U35" s="4" t="s">
        <v>213</v>
      </c>
      <c r="V35" s="26"/>
      <c r="W35" s="26"/>
    </row>
    <row r="36" spans="1:23" s="14" customFormat="1" x14ac:dyDescent="0.25">
      <c r="A36" s="100"/>
      <c r="B36" s="6" t="s">
        <v>138</v>
      </c>
      <c r="C36" s="7" t="s">
        <v>139</v>
      </c>
      <c r="D36" s="8">
        <v>1001.1656402129743</v>
      </c>
      <c r="E36" s="8"/>
      <c r="F36" s="8"/>
      <c r="G36" s="8"/>
      <c r="H36" s="8"/>
      <c r="I36" s="11">
        <f t="shared" si="7"/>
        <v>-1001.1656402129743</v>
      </c>
      <c r="J36" s="8"/>
      <c r="K36" s="8"/>
      <c r="L36" s="8"/>
      <c r="M36" s="8"/>
      <c r="N36" s="13">
        <v>1365</v>
      </c>
      <c r="O36" s="13"/>
      <c r="P36" s="13"/>
      <c r="Q36" s="13"/>
      <c r="R36" s="13"/>
      <c r="S36" s="13"/>
      <c r="T36" s="13">
        <f t="shared" si="6"/>
        <v>1365</v>
      </c>
      <c r="U36" s="4" t="s">
        <v>213</v>
      </c>
      <c r="V36" s="26"/>
      <c r="W36" s="26"/>
    </row>
    <row r="37" spans="1:23" s="14" customFormat="1" x14ac:dyDescent="0.25">
      <c r="A37" s="100"/>
      <c r="B37" s="6" t="s">
        <v>38</v>
      </c>
      <c r="C37" s="7" t="s">
        <v>39</v>
      </c>
      <c r="D37" s="8"/>
      <c r="E37" s="8"/>
      <c r="F37" s="8">
        <v>29.45051712857083</v>
      </c>
      <c r="G37" s="8">
        <v>73.344918453956666</v>
      </c>
      <c r="H37" s="8"/>
      <c r="I37" s="8" t="s">
        <v>58</v>
      </c>
      <c r="J37" s="8">
        <v>768.72000000000014</v>
      </c>
      <c r="K37" s="8">
        <v>0</v>
      </c>
      <c r="L37" s="8">
        <v>0</v>
      </c>
      <c r="M37" s="8">
        <v>0</v>
      </c>
      <c r="N37" s="13"/>
      <c r="O37" s="13"/>
      <c r="P37" s="13"/>
      <c r="Q37" s="13"/>
      <c r="R37" s="13"/>
      <c r="S37" s="13"/>
      <c r="T37" s="13">
        <f t="shared" si="6"/>
        <v>0</v>
      </c>
      <c r="U37" s="4" t="s">
        <v>59</v>
      </c>
      <c r="V37" s="26"/>
      <c r="W37" s="26"/>
    </row>
    <row r="38" spans="1:23" s="14" customFormat="1" x14ac:dyDescent="0.25">
      <c r="A38" s="100"/>
      <c r="B38" s="6" t="s">
        <v>47</v>
      </c>
      <c r="C38" s="7" t="s">
        <v>48</v>
      </c>
      <c r="D38" s="8"/>
      <c r="E38" s="8">
        <v>468.95727911736992</v>
      </c>
      <c r="F38" s="8"/>
      <c r="G38" s="8">
        <v>58.525868433847762</v>
      </c>
      <c r="H38" s="8">
        <v>2947.6778736201404</v>
      </c>
      <c r="I38" s="11">
        <f t="shared" si="7"/>
        <v>-2958.1110211713585</v>
      </c>
      <c r="J38" s="8">
        <v>517.04999999999984</v>
      </c>
      <c r="K38" s="8">
        <v>0</v>
      </c>
      <c r="L38" s="8">
        <v>1998.08</v>
      </c>
      <c r="M38" s="8">
        <v>0</v>
      </c>
      <c r="N38" s="13">
        <v>2671</v>
      </c>
      <c r="O38" s="13"/>
      <c r="P38" s="13"/>
      <c r="Q38" s="13"/>
      <c r="R38" s="13"/>
      <c r="S38" s="13"/>
      <c r="T38" s="13">
        <f t="shared" si="6"/>
        <v>2671</v>
      </c>
      <c r="U38" s="4" t="s">
        <v>213</v>
      </c>
      <c r="V38" s="26"/>
      <c r="W38" s="26"/>
    </row>
    <row r="39" spans="1:23" s="14" customFormat="1" x14ac:dyDescent="0.25">
      <c r="A39" s="101"/>
      <c r="B39" s="6" t="s">
        <v>49</v>
      </c>
      <c r="C39" s="7" t="s">
        <v>50</v>
      </c>
      <c r="D39" s="8"/>
      <c r="E39" s="8">
        <v>300.13265863511674</v>
      </c>
      <c r="F39" s="8"/>
      <c r="G39" s="8">
        <v>200.33854963894044</v>
      </c>
      <c r="H39" s="8">
        <v>2959.4955970538981</v>
      </c>
      <c r="I39" s="11">
        <f t="shared" si="7"/>
        <v>-381.35680532795652</v>
      </c>
      <c r="J39" s="8">
        <v>3078.6099999999988</v>
      </c>
      <c r="K39" s="8">
        <v>0</v>
      </c>
      <c r="L39" s="8">
        <v>0</v>
      </c>
      <c r="M39" s="8">
        <v>1163.5699999999997</v>
      </c>
      <c r="N39" s="13">
        <v>1326</v>
      </c>
      <c r="O39" s="13"/>
      <c r="P39" s="13"/>
      <c r="Q39" s="13"/>
      <c r="R39" s="13"/>
      <c r="S39" s="13"/>
      <c r="T39" s="13">
        <f t="shared" si="6"/>
        <v>1326</v>
      </c>
      <c r="U39" s="4" t="s">
        <v>213</v>
      </c>
      <c r="V39" s="26"/>
      <c r="W39" s="26"/>
    </row>
    <row r="40" spans="1:23" ht="26.25" customHeight="1" x14ac:dyDescent="0.25">
      <c r="A40" s="111" t="s">
        <v>195</v>
      </c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1"/>
      <c r="S40" s="125"/>
      <c r="T40" s="125"/>
    </row>
    <row r="41" spans="1:23" x14ac:dyDescent="0.25">
      <c r="A41" s="81" t="s">
        <v>18</v>
      </c>
      <c r="B41" s="82"/>
      <c r="C41" s="83" t="s">
        <v>30</v>
      </c>
      <c r="D41" s="94" t="s">
        <v>19</v>
      </c>
      <c r="E41" s="96"/>
      <c r="F41" s="85" t="s">
        <v>0</v>
      </c>
      <c r="G41" s="87" t="s">
        <v>1</v>
      </c>
      <c r="H41" s="88"/>
      <c r="I41" s="87" t="s">
        <v>2</v>
      </c>
      <c r="J41" s="88"/>
      <c r="K41" s="89" t="s">
        <v>3</v>
      </c>
      <c r="L41" s="90"/>
      <c r="M41" s="90"/>
      <c r="N41" s="90"/>
      <c r="O41" s="90"/>
      <c r="P41" s="91"/>
      <c r="Q41" s="92" t="s">
        <v>34</v>
      </c>
      <c r="R41" s="98" t="s">
        <v>35</v>
      </c>
      <c r="S41" s="25"/>
      <c r="T41" s="25"/>
    </row>
    <row r="42" spans="1:23" x14ac:dyDescent="0.25">
      <c r="A42" s="73" t="s">
        <v>20</v>
      </c>
      <c r="B42" s="73" t="s">
        <v>21</v>
      </c>
      <c r="C42" s="84"/>
      <c r="D42" s="10">
        <v>46264</v>
      </c>
      <c r="E42" s="10">
        <v>46272</v>
      </c>
      <c r="F42" s="86"/>
      <c r="G42" s="70" t="s">
        <v>4</v>
      </c>
      <c r="H42" s="70" t="s">
        <v>5</v>
      </c>
      <c r="I42" s="70" t="s">
        <v>6</v>
      </c>
      <c r="J42" s="70" t="s">
        <v>7</v>
      </c>
      <c r="K42" s="71" t="s">
        <v>8</v>
      </c>
      <c r="L42" s="5" t="s">
        <v>9</v>
      </c>
      <c r="M42" s="5" t="s">
        <v>27</v>
      </c>
      <c r="N42" s="71" t="s">
        <v>10</v>
      </c>
      <c r="O42" s="71" t="s">
        <v>11</v>
      </c>
      <c r="P42" s="12" t="s">
        <v>40</v>
      </c>
      <c r="Q42" s="93"/>
      <c r="R42" s="98"/>
    </row>
    <row r="43" spans="1:23" x14ac:dyDescent="0.25">
      <c r="A43" s="106" t="s">
        <v>108</v>
      </c>
      <c r="B43" s="6" t="s">
        <v>109</v>
      </c>
      <c r="C43" s="7" t="s">
        <v>33</v>
      </c>
      <c r="D43" s="8"/>
      <c r="E43" s="8">
        <v>3357.2040827492292</v>
      </c>
      <c r="F43" s="8" t="s">
        <v>58</v>
      </c>
      <c r="G43" s="8">
        <v>22268.156000000068</v>
      </c>
      <c r="H43" s="8">
        <v>1778.4700000000003</v>
      </c>
      <c r="I43" s="8">
        <v>351.83</v>
      </c>
      <c r="J43" s="8">
        <v>1798.3200000000004</v>
      </c>
      <c r="K43" s="13"/>
      <c r="L43" s="13">
        <v>4132.5</v>
      </c>
      <c r="M43" s="13"/>
      <c r="N43" s="13">
        <v>13473</v>
      </c>
      <c r="O43" s="13">
        <v>32445.609999999997</v>
      </c>
      <c r="P43" s="13"/>
      <c r="Q43" s="13">
        <f t="shared" ref="Q43:Q49" si="8">P43+O43+N43+M43+L43+K43</f>
        <v>50051.11</v>
      </c>
      <c r="R43" s="4" t="s">
        <v>59</v>
      </c>
    </row>
    <row r="44" spans="1:23" x14ac:dyDescent="0.25">
      <c r="A44" s="107"/>
      <c r="B44" s="6" t="s">
        <v>112</v>
      </c>
      <c r="C44" s="7" t="s">
        <v>113</v>
      </c>
      <c r="D44" s="8">
        <v>9.4606588570004231</v>
      </c>
      <c r="E44" s="8">
        <v>1383.0039453607058</v>
      </c>
      <c r="F44" s="11">
        <f t="shared" ref="F44:F49" si="9">G44+H44-E44</f>
        <v>-902.58394536070568</v>
      </c>
      <c r="G44" s="8">
        <v>480.42000000000007</v>
      </c>
      <c r="H44" s="8">
        <v>0</v>
      </c>
      <c r="I44" s="8">
        <v>191.15</v>
      </c>
      <c r="J44" s="8">
        <v>0</v>
      </c>
      <c r="K44" s="13"/>
      <c r="L44" s="13"/>
      <c r="M44" s="13"/>
      <c r="N44" s="13"/>
      <c r="O44" s="13"/>
      <c r="P44" s="13"/>
      <c r="Q44" s="13">
        <f t="shared" si="8"/>
        <v>0</v>
      </c>
      <c r="R44" s="24" t="s">
        <v>73</v>
      </c>
    </row>
    <row r="45" spans="1:23" x14ac:dyDescent="0.25">
      <c r="A45" s="107"/>
      <c r="B45" s="6" t="s">
        <v>198</v>
      </c>
      <c r="C45" s="7" t="s">
        <v>191</v>
      </c>
      <c r="D45" s="8"/>
      <c r="E45" s="8">
        <v>997.35861444281659</v>
      </c>
      <c r="F45" s="11">
        <f t="shared" si="9"/>
        <v>-454.14861444281667</v>
      </c>
      <c r="G45" s="8">
        <v>543.20999999999992</v>
      </c>
      <c r="H45" s="8">
        <v>0</v>
      </c>
      <c r="I45" s="8">
        <v>0</v>
      </c>
      <c r="J45" s="8">
        <v>0</v>
      </c>
      <c r="K45" s="13"/>
      <c r="L45" s="13"/>
      <c r="M45" s="13"/>
      <c r="N45" s="13"/>
      <c r="O45" s="13"/>
      <c r="P45" s="13"/>
      <c r="Q45" s="13">
        <f t="shared" si="8"/>
        <v>0</v>
      </c>
      <c r="R45" s="24" t="s">
        <v>73</v>
      </c>
    </row>
    <row r="46" spans="1:23" x14ac:dyDescent="0.25">
      <c r="A46" s="107"/>
      <c r="B46" s="6" t="s">
        <v>199</v>
      </c>
      <c r="C46" s="7" t="s">
        <v>200</v>
      </c>
      <c r="D46" s="8"/>
      <c r="E46" s="8">
        <v>2500.0455935366599</v>
      </c>
      <c r="F46" s="11">
        <f t="shared" si="9"/>
        <v>-2225.8955935366598</v>
      </c>
      <c r="G46" s="8">
        <v>274.15000000000003</v>
      </c>
      <c r="H46" s="8">
        <v>0</v>
      </c>
      <c r="I46" s="8">
        <v>0</v>
      </c>
      <c r="J46" s="8">
        <v>0</v>
      </c>
      <c r="K46" s="13"/>
      <c r="L46" s="13"/>
      <c r="M46" s="13"/>
      <c r="N46" s="13"/>
      <c r="O46" s="13"/>
      <c r="P46" s="13"/>
      <c r="Q46" s="13">
        <f t="shared" si="8"/>
        <v>0</v>
      </c>
      <c r="R46" s="24" t="s">
        <v>73</v>
      </c>
    </row>
    <row r="47" spans="1:23" x14ac:dyDescent="0.25">
      <c r="A47" s="107"/>
      <c r="B47" s="6" t="s">
        <v>116</v>
      </c>
      <c r="C47" s="7" t="s">
        <v>117</v>
      </c>
      <c r="D47" s="8"/>
      <c r="E47" s="8">
        <v>2178.6111600819468</v>
      </c>
      <c r="F47" s="11">
        <f t="shared" si="9"/>
        <v>-1443.5411600819466</v>
      </c>
      <c r="G47" s="8">
        <v>735.07000000000016</v>
      </c>
      <c r="H47" s="8">
        <v>0</v>
      </c>
      <c r="I47" s="8">
        <v>0</v>
      </c>
      <c r="J47" s="8">
        <v>0</v>
      </c>
      <c r="K47" s="13"/>
      <c r="L47" s="13"/>
      <c r="M47" s="13"/>
      <c r="N47" s="13"/>
      <c r="O47" s="13"/>
      <c r="P47" s="13"/>
      <c r="Q47" s="13">
        <f t="shared" si="8"/>
        <v>0</v>
      </c>
      <c r="R47" s="24" t="s">
        <v>73</v>
      </c>
    </row>
    <row r="48" spans="1:23" x14ac:dyDescent="0.25">
      <c r="A48" s="107"/>
      <c r="B48" s="6" t="s">
        <v>201</v>
      </c>
      <c r="C48" s="7" t="s">
        <v>202</v>
      </c>
      <c r="D48" s="8"/>
      <c r="E48" s="8">
        <v>933.1477169796409</v>
      </c>
      <c r="F48" s="11">
        <f t="shared" si="9"/>
        <v>-381.0277169796409</v>
      </c>
      <c r="G48" s="8">
        <v>552.12</v>
      </c>
      <c r="H48" s="8">
        <v>0</v>
      </c>
      <c r="I48" s="8">
        <v>0</v>
      </c>
      <c r="J48" s="8">
        <v>0</v>
      </c>
      <c r="K48" s="13"/>
      <c r="L48" s="13"/>
      <c r="M48" s="13"/>
      <c r="N48" s="13"/>
      <c r="O48" s="13"/>
      <c r="P48" s="13"/>
      <c r="Q48" s="13">
        <f t="shared" si="8"/>
        <v>0</v>
      </c>
      <c r="R48" s="24" t="s">
        <v>73</v>
      </c>
    </row>
    <row r="49" spans="1:20" x14ac:dyDescent="0.25">
      <c r="A49" s="107"/>
      <c r="B49" s="6" t="s">
        <v>120</v>
      </c>
      <c r="C49" s="7" t="s">
        <v>121</v>
      </c>
      <c r="D49" s="8"/>
      <c r="E49" s="8">
        <v>1314.9935865091763</v>
      </c>
      <c r="F49" s="11">
        <f t="shared" si="9"/>
        <v>-1218.0835865091763</v>
      </c>
      <c r="G49" s="8">
        <v>96.91</v>
      </c>
      <c r="H49" s="8">
        <v>0</v>
      </c>
      <c r="I49" s="8">
        <v>0</v>
      </c>
      <c r="J49" s="8">
        <v>0</v>
      </c>
      <c r="K49" s="13"/>
      <c r="L49" s="13"/>
      <c r="M49" s="13"/>
      <c r="N49" s="13"/>
      <c r="O49" s="13"/>
      <c r="P49" s="13"/>
      <c r="Q49" s="13">
        <f t="shared" si="8"/>
        <v>0</v>
      </c>
      <c r="R49" s="24" t="s">
        <v>73</v>
      </c>
    </row>
    <row r="50" spans="1:20" ht="26.25" customHeight="1" x14ac:dyDescent="0.25">
      <c r="A50" s="74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123"/>
      <c r="S50" s="124"/>
      <c r="T50" s="124"/>
    </row>
    <row r="51" spans="1:20" x14ac:dyDescent="0.25">
      <c r="A51" s="81" t="s">
        <v>18</v>
      </c>
      <c r="B51" s="82"/>
      <c r="C51" s="83" t="s">
        <v>30</v>
      </c>
      <c r="D51" s="76" t="s">
        <v>19</v>
      </c>
      <c r="E51" s="85" t="s">
        <v>0</v>
      </c>
      <c r="F51" s="87" t="s">
        <v>1</v>
      </c>
      <c r="G51" s="88"/>
      <c r="H51" s="87" t="s">
        <v>2</v>
      </c>
      <c r="I51" s="88"/>
      <c r="J51" s="89" t="s">
        <v>3</v>
      </c>
      <c r="K51" s="90"/>
      <c r="L51" s="90"/>
      <c r="M51" s="90"/>
      <c r="N51" s="90"/>
      <c r="O51" s="91"/>
      <c r="P51" s="92" t="s">
        <v>34</v>
      </c>
      <c r="Q51" s="98" t="s">
        <v>35</v>
      </c>
    </row>
    <row r="52" spans="1:20" x14ac:dyDescent="0.25">
      <c r="A52" s="73" t="s">
        <v>20</v>
      </c>
      <c r="B52" s="73" t="s">
        <v>21</v>
      </c>
      <c r="C52" s="84"/>
      <c r="D52" s="10">
        <v>46272</v>
      </c>
      <c r="E52" s="86"/>
      <c r="F52" s="70" t="s">
        <v>4</v>
      </c>
      <c r="G52" s="70" t="s">
        <v>5</v>
      </c>
      <c r="H52" s="70" t="s">
        <v>6</v>
      </c>
      <c r="I52" s="70" t="s">
        <v>7</v>
      </c>
      <c r="J52" s="71" t="s">
        <v>8</v>
      </c>
      <c r="K52" s="5" t="s">
        <v>9</v>
      </c>
      <c r="L52" s="5" t="s">
        <v>27</v>
      </c>
      <c r="M52" s="71" t="s">
        <v>10</v>
      </c>
      <c r="N52" s="71" t="s">
        <v>11</v>
      </c>
      <c r="O52" s="12" t="s">
        <v>40</v>
      </c>
      <c r="P52" s="93"/>
      <c r="Q52" s="98"/>
    </row>
    <row r="53" spans="1:20" x14ac:dyDescent="0.25">
      <c r="A53" s="106" t="s">
        <v>122</v>
      </c>
      <c r="B53" s="6" t="s">
        <v>123</v>
      </c>
      <c r="C53" s="7" t="s">
        <v>124</v>
      </c>
      <c r="D53" s="8">
        <v>56.643446899398405</v>
      </c>
      <c r="E53" s="8" t="s">
        <v>58</v>
      </c>
      <c r="F53" s="8">
        <v>620.80600000000015</v>
      </c>
      <c r="G53" s="8">
        <v>0</v>
      </c>
      <c r="H53" s="8">
        <v>0</v>
      </c>
      <c r="I53" s="8">
        <v>0</v>
      </c>
      <c r="J53" s="13"/>
      <c r="K53" s="13"/>
      <c r="L53" s="13"/>
      <c r="M53" s="13"/>
      <c r="N53" s="13"/>
      <c r="O53" s="13"/>
      <c r="P53" s="13">
        <f t="shared" ref="P53:P60" si="10">O53+N53+M53+L53+K53+J53</f>
        <v>0</v>
      </c>
      <c r="Q53" s="4" t="s">
        <v>59</v>
      </c>
    </row>
    <row r="54" spans="1:20" x14ac:dyDescent="0.25">
      <c r="A54" s="107"/>
      <c r="B54" s="6" t="s">
        <v>203</v>
      </c>
      <c r="C54" s="7" t="s">
        <v>33</v>
      </c>
      <c r="D54" s="8">
        <v>116.52366219304814</v>
      </c>
      <c r="E54" s="8" t="s">
        <v>58</v>
      </c>
      <c r="F54" s="8">
        <v>369.18</v>
      </c>
      <c r="G54" s="8">
        <v>0</v>
      </c>
      <c r="H54" s="8">
        <v>81.540000000000006</v>
      </c>
      <c r="I54" s="8">
        <v>0</v>
      </c>
      <c r="J54" s="13"/>
      <c r="K54" s="13"/>
      <c r="L54" s="13"/>
      <c r="M54" s="13"/>
      <c r="N54" s="13"/>
      <c r="O54" s="13"/>
      <c r="P54" s="13">
        <f t="shared" si="10"/>
        <v>0</v>
      </c>
      <c r="Q54" s="4" t="s">
        <v>59</v>
      </c>
    </row>
    <row r="55" spans="1:20" x14ac:dyDescent="0.25">
      <c r="A55" s="107"/>
      <c r="B55" s="6" t="s">
        <v>126</v>
      </c>
      <c r="C55" s="7" t="s">
        <v>113</v>
      </c>
      <c r="D55" s="8">
        <v>49.360718012332896</v>
      </c>
      <c r="E55" s="8" t="s">
        <v>58</v>
      </c>
      <c r="F55" s="8">
        <v>147.16</v>
      </c>
      <c r="G55" s="8">
        <v>0</v>
      </c>
      <c r="H55" s="8">
        <v>0</v>
      </c>
      <c r="I55" s="8">
        <v>0</v>
      </c>
      <c r="J55" s="13"/>
      <c r="K55" s="13"/>
      <c r="L55" s="13"/>
      <c r="M55" s="13"/>
      <c r="N55" s="13"/>
      <c r="O55" s="13"/>
      <c r="P55" s="13">
        <f t="shared" si="10"/>
        <v>0</v>
      </c>
      <c r="Q55" s="4" t="s">
        <v>59</v>
      </c>
    </row>
    <row r="56" spans="1:20" x14ac:dyDescent="0.25">
      <c r="A56" s="107"/>
      <c r="B56" s="6" t="s">
        <v>190</v>
      </c>
      <c r="C56" s="7" t="s">
        <v>191</v>
      </c>
      <c r="D56" s="8">
        <v>36.413644435327541</v>
      </c>
      <c r="E56" s="8" t="s">
        <v>58</v>
      </c>
      <c r="F56" s="8">
        <v>322.32000000000005</v>
      </c>
      <c r="G56" s="8">
        <v>0</v>
      </c>
      <c r="H56" s="8">
        <v>0</v>
      </c>
      <c r="I56" s="8">
        <v>0</v>
      </c>
      <c r="J56" s="13"/>
      <c r="K56" s="13"/>
      <c r="L56" s="13"/>
      <c r="M56" s="13"/>
      <c r="N56" s="13"/>
      <c r="O56" s="13"/>
      <c r="P56" s="13">
        <f t="shared" si="10"/>
        <v>0</v>
      </c>
      <c r="Q56" s="4" t="s">
        <v>59</v>
      </c>
    </row>
    <row r="57" spans="1:20" x14ac:dyDescent="0.25">
      <c r="A57" s="107"/>
      <c r="B57" s="6" t="s">
        <v>204</v>
      </c>
      <c r="C57" s="7" t="s">
        <v>200</v>
      </c>
      <c r="D57" s="8">
        <v>87.392746644786115</v>
      </c>
      <c r="E57" s="8" t="s">
        <v>58</v>
      </c>
      <c r="F57" s="8">
        <v>153.08000000000001</v>
      </c>
      <c r="G57" s="8">
        <v>0</v>
      </c>
      <c r="H57" s="8">
        <v>0</v>
      </c>
      <c r="I57" s="8">
        <v>0</v>
      </c>
      <c r="J57" s="13"/>
      <c r="K57" s="13"/>
      <c r="L57" s="13"/>
      <c r="M57" s="13"/>
      <c r="N57" s="13"/>
      <c r="O57" s="13"/>
      <c r="P57" s="13">
        <f t="shared" si="10"/>
        <v>0</v>
      </c>
      <c r="Q57" s="4" t="s">
        <v>59</v>
      </c>
    </row>
    <row r="58" spans="1:20" x14ac:dyDescent="0.25">
      <c r="A58" s="107"/>
      <c r="B58" s="6" t="s">
        <v>205</v>
      </c>
      <c r="C58" s="7" t="s">
        <v>206</v>
      </c>
      <c r="D58" s="8">
        <v>79.300825659157766</v>
      </c>
      <c r="E58" s="11">
        <f t="shared" ref="E58" si="11">F58+G58-D58</f>
        <v>-13.00182565915776</v>
      </c>
      <c r="F58" s="8">
        <v>66.299000000000007</v>
      </c>
      <c r="G58" s="8">
        <v>0</v>
      </c>
      <c r="H58" s="8">
        <v>0</v>
      </c>
      <c r="I58" s="8">
        <v>0</v>
      </c>
      <c r="J58" s="13"/>
      <c r="K58" s="13"/>
      <c r="L58" s="13"/>
      <c r="M58" s="13"/>
      <c r="N58" s="13"/>
      <c r="O58" s="13"/>
      <c r="P58" s="13">
        <f t="shared" si="10"/>
        <v>0</v>
      </c>
      <c r="Q58" s="24" t="s">
        <v>73</v>
      </c>
    </row>
    <row r="59" spans="1:20" x14ac:dyDescent="0.25">
      <c r="A59" s="107"/>
      <c r="B59" s="6" t="s">
        <v>207</v>
      </c>
      <c r="C59" s="7" t="s">
        <v>202</v>
      </c>
      <c r="D59" s="8">
        <v>32.367683942513374</v>
      </c>
      <c r="E59" s="8" t="s">
        <v>58</v>
      </c>
      <c r="F59" s="8">
        <v>180.80399999999997</v>
      </c>
      <c r="G59" s="8">
        <v>0</v>
      </c>
      <c r="H59" s="8">
        <v>0</v>
      </c>
      <c r="I59" s="8">
        <v>0</v>
      </c>
      <c r="J59" s="13"/>
      <c r="K59" s="13"/>
      <c r="L59" s="13"/>
      <c r="M59" s="13"/>
      <c r="N59" s="13"/>
      <c r="O59" s="13"/>
      <c r="P59" s="13">
        <f t="shared" si="10"/>
        <v>0</v>
      </c>
      <c r="Q59" s="4" t="s">
        <v>59</v>
      </c>
    </row>
    <row r="60" spans="1:20" x14ac:dyDescent="0.25">
      <c r="A60" s="107"/>
      <c r="B60" s="6" t="s">
        <v>208</v>
      </c>
      <c r="C60" s="7" t="s">
        <v>121</v>
      </c>
      <c r="D60" s="8">
        <v>46.933141716644393</v>
      </c>
      <c r="E60" s="8" t="s">
        <v>58</v>
      </c>
      <c r="F60" s="8">
        <v>129.45099999999999</v>
      </c>
      <c r="G60" s="8">
        <v>0</v>
      </c>
      <c r="H60" s="8">
        <v>0</v>
      </c>
      <c r="I60" s="8">
        <v>0</v>
      </c>
      <c r="J60" s="13"/>
      <c r="K60" s="13"/>
      <c r="L60" s="13"/>
      <c r="M60" s="13"/>
      <c r="N60" s="13"/>
      <c r="O60" s="13"/>
      <c r="P60" s="13">
        <f t="shared" si="10"/>
        <v>0</v>
      </c>
      <c r="Q60" s="4" t="s">
        <v>59</v>
      </c>
    </row>
    <row r="61" spans="1:20" ht="26.25" customHeight="1" x14ac:dyDescent="0.25">
      <c r="A61" s="74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123"/>
      <c r="S61" s="124"/>
      <c r="T61" s="124"/>
    </row>
    <row r="62" spans="1:20" x14ac:dyDescent="0.25">
      <c r="A62" s="102" t="s">
        <v>18</v>
      </c>
      <c r="B62" s="102"/>
      <c r="C62" s="102" t="s">
        <v>30</v>
      </c>
      <c r="D62" s="17" t="s">
        <v>19</v>
      </c>
      <c r="E62" s="98" t="s">
        <v>0</v>
      </c>
      <c r="F62" s="97" t="s">
        <v>1</v>
      </c>
      <c r="G62" s="97"/>
      <c r="H62" s="97" t="s">
        <v>2</v>
      </c>
      <c r="I62" s="97"/>
      <c r="J62" s="115" t="s">
        <v>3</v>
      </c>
      <c r="K62" s="115"/>
      <c r="L62" s="115"/>
      <c r="M62" s="115"/>
      <c r="N62" s="115"/>
      <c r="O62" s="115"/>
      <c r="P62" s="116" t="s">
        <v>34</v>
      </c>
      <c r="Q62" s="98" t="s">
        <v>35</v>
      </c>
    </row>
    <row r="63" spans="1:20" x14ac:dyDescent="0.25">
      <c r="A63" s="73" t="s">
        <v>20</v>
      </c>
      <c r="B63" s="73" t="s">
        <v>21</v>
      </c>
      <c r="C63" s="102"/>
      <c r="D63" s="10">
        <v>46275</v>
      </c>
      <c r="E63" s="98"/>
      <c r="F63" s="70" t="s">
        <v>4</v>
      </c>
      <c r="G63" s="70" t="s">
        <v>5</v>
      </c>
      <c r="H63" s="70" t="s">
        <v>6</v>
      </c>
      <c r="I63" s="70" t="s">
        <v>7</v>
      </c>
      <c r="J63" s="71" t="s">
        <v>8</v>
      </c>
      <c r="K63" s="5" t="s">
        <v>9</v>
      </c>
      <c r="L63" s="5" t="s">
        <v>27</v>
      </c>
      <c r="M63" s="71" t="s">
        <v>10</v>
      </c>
      <c r="N63" s="71" t="s">
        <v>11</v>
      </c>
      <c r="O63" s="12" t="s">
        <v>40</v>
      </c>
      <c r="P63" s="116"/>
      <c r="Q63" s="98"/>
    </row>
    <row r="64" spans="1:20" x14ac:dyDescent="0.25">
      <c r="A64" s="117" t="s">
        <v>78</v>
      </c>
      <c r="B64" s="6" t="s">
        <v>79</v>
      </c>
      <c r="C64" s="7" t="s">
        <v>80</v>
      </c>
      <c r="D64" s="8">
        <v>25.967722809955792</v>
      </c>
      <c r="E64" s="8" t="s">
        <v>58</v>
      </c>
      <c r="F64" s="13">
        <v>156.44</v>
      </c>
      <c r="G64" s="13">
        <v>0</v>
      </c>
      <c r="H64" s="13">
        <v>0</v>
      </c>
      <c r="I64" s="13">
        <v>0</v>
      </c>
      <c r="J64" s="13"/>
      <c r="K64" s="13"/>
      <c r="L64" s="13"/>
      <c r="M64" s="13"/>
      <c r="N64" s="13"/>
      <c r="O64" s="13"/>
      <c r="P64" s="13">
        <f t="shared" ref="P64:P66" si="12">N64+M64+L64+K64+J64+O64</f>
        <v>0</v>
      </c>
      <c r="Q64" s="4" t="s">
        <v>59</v>
      </c>
    </row>
    <row r="65" spans="1:20" x14ac:dyDescent="0.25">
      <c r="A65" s="118"/>
      <c r="B65" s="6" t="s">
        <v>90</v>
      </c>
      <c r="C65" s="7" t="s">
        <v>91</v>
      </c>
      <c r="D65" s="8">
        <v>10.11132569591199</v>
      </c>
      <c r="E65" s="11">
        <f>F65+G65-D65</f>
        <v>-10.11132569591199</v>
      </c>
      <c r="F65" s="13"/>
      <c r="G65" s="13"/>
      <c r="H65" s="13"/>
      <c r="I65" s="13"/>
      <c r="J65" s="13"/>
      <c r="K65" s="13"/>
      <c r="L65" s="13"/>
      <c r="M65" s="13">
        <v>446.5</v>
      </c>
      <c r="N65" s="13"/>
      <c r="O65" s="13"/>
      <c r="P65" s="13">
        <f t="shared" si="12"/>
        <v>446.5</v>
      </c>
      <c r="Q65" s="4" t="s">
        <v>193</v>
      </c>
    </row>
    <row r="66" spans="1:20" x14ac:dyDescent="0.25">
      <c r="A66" s="119"/>
      <c r="B66" s="6" t="s">
        <v>81</v>
      </c>
      <c r="C66" s="7" t="s">
        <v>82</v>
      </c>
      <c r="D66" s="8">
        <v>17.924622824571255</v>
      </c>
      <c r="E66" s="8" t="s">
        <v>58</v>
      </c>
      <c r="F66" s="13">
        <v>137</v>
      </c>
      <c r="G66" s="13">
        <v>0</v>
      </c>
      <c r="H66" s="13">
        <v>0</v>
      </c>
      <c r="I66" s="13">
        <v>0</v>
      </c>
      <c r="J66" s="13">
        <v>237.5</v>
      </c>
      <c r="K66" s="13"/>
      <c r="L66" s="13"/>
      <c r="M66" s="13"/>
      <c r="N66" s="13"/>
      <c r="O66" s="13"/>
      <c r="P66" s="13">
        <f t="shared" si="12"/>
        <v>237.5</v>
      </c>
      <c r="Q66" s="4" t="s">
        <v>59</v>
      </c>
    </row>
    <row r="68" spans="1:20" x14ac:dyDescent="0.25">
      <c r="A68" s="102" t="s">
        <v>18</v>
      </c>
      <c r="B68" s="102"/>
      <c r="C68" s="102" t="s">
        <v>30</v>
      </c>
      <c r="D68" s="94" t="s">
        <v>19</v>
      </c>
      <c r="E68" s="95"/>
      <c r="F68" s="95"/>
      <c r="G68" s="96"/>
      <c r="H68" s="98" t="s">
        <v>0</v>
      </c>
      <c r="I68" s="97" t="s">
        <v>1</v>
      </c>
      <c r="J68" s="97"/>
      <c r="K68" s="97" t="s">
        <v>2</v>
      </c>
      <c r="L68" s="97"/>
      <c r="M68" s="115" t="s">
        <v>3</v>
      </c>
      <c r="N68" s="115"/>
      <c r="O68" s="115"/>
      <c r="P68" s="115"/>
      <c r="Q68" s="115"/>
      <c r="R68" s="115"/>
      <c r="S68" s="116" t="s">
        <v>34</v>
      </c>
      <c r="T68" s="98" t="s">
        <v>35</v>
      </c>
    </row>
    <row r="69" spans="1:20" x14ac:dyDescent="0.25">
      <c r="A69" s="73" t="s">
        <v>20</v>
      </c>
      <c r="B69" s="73" t="s">
        <v>21</v>
      </c>
      <c r="C69" s="102"/>
      <c r="D69" s="10">
        <v>46262</v>
      </c>
      <c r="E69" s="10">
        <v>46275</v>
      </c>
      <c r="F69" s="10">
        <v>46285</v>
      </c>
      <c r="G69" s="10">
        <v>46288</v>
      </c>
      <c r="H69" s="98"/>
      <c r="I69" s="70" t="s">
        <v>4</v>
      </c>
      <c r="J69" s="70" t="s">
        <v>5</v>
      </c>
      <c r="K69" s="70" t="s">
        <v>6</v>
      </c>
      <c r="L69" s="70" t="s">
        <v>7</v>
      </c>
      <c r="M69" s="71" t="s">
        <v>8</v>
      </c>
      <c r="N69" s="5" t="s">
        <v>9</v>
      </c>
      <c r="O69" s="5" t="s">
        <v>27</v>
      </c>
      <c r="P69" s="71" t="s">
        <v>10</v>
      </c>
      <c r="Q69" s="71" t="s">
        <v>11</v>
      </c>
      <c r="R69" s="12" t="s">
        <v>40</v>
      </c>
      <c r="S69" s="116"/>
      <c r="T69" s="98"/>
    </row>
    <row r="70" spans="1:20" x14ac:dyDescent="0.25">
      <c r="A70" s="117" t="s">
        <v>77</v>
      </c>
      <c r="B70" s="6" t="s">
        <v>71</v>
      </c>
      <c r="C70" s="7" t="s">
        <v>72</v>
      </c>
      <c r="D70" s="8">
        <v>2948.2621114772687</v>
      </c>
      <c r="E70" s="8">
        <v>158.40242659622126</v>
      </c>
      <c r="F70" s="8">
        <v>896.27993936261942</v>
      </c>
      <c r="G70" s="8"/>
      <c r="H70" s="8" t="s">
        <v>58</v>
      </c>
      <c r="I70" s="13">
        <v>4931.9809999999979</v>
      </c>
      <c r="J70" s="13">
        <v>12.48</v>
      </c>
      <c r="K70" s="13">
        <v>2198.8399999999992</v>
      </c>
      <c r="L70" s="13">
        <v>1500.5399999999995</v>
      </c>
      <c r="M70" s="13"/>
      <c r="N70" s="13"/>
      <c r="O70" s="13"/>
      <c r="P70" s="13">
        <v>6319.5</v>
      </c>
      <c r="Q70" s="13">
        <v>10429</v>
      </c>
      <c r="R70" s="13"/>
      <c r="S70" s="13">
        <f>R70+Q70+P70+O70+N70+M70</f>
        <v>16748.5</v>
      </c>
      <c r="T70" s="4" t="s">
        <v>59</v>
      </c>
    </row>
    <row r="71" spans="1:20" x14ac:dyDescent="0.25">
      <c r="A71" s="118"/>
      <c r="B71" s="6" t="s">
        <v>55</v>
      </c>
      <c r="C71" s="7" t="s">
        <v>56</v>
      </c>
      <c r="D71" s="8"/>
      <c r="E71" s="8">
        <v>285.57095956659271</v>
      </c>
      <c r="F71" s="8">
        <v>68.812279413636801</v>
      </c>
      <c r="G71" s="8"/>
      <c r="H71" s="8" t="s">
        <v>58</v>
      </c>
      <c r="I71" s="13">
        <v>5631.0320000000056</v>
      </c>
      <c r="J71" s="13">
        <v>0</v>
      </c>
      <c r="K71" s="13">
        <v>59.059999999999995</v>
      </c>
      <c r="L71" s="13">
        <v>0</v>
      </c>
      <c r="M71" s="30"/>
      <c r="N71" s="30"/>
      <c r="O71" s="31"/>
      <c r="P71" s="30"/>
      <c r="Q71" s="30"/>
      <c r="R71" s="13"/>
      <c r="S71" s="13">
        <f>R71+Q71+P71+O71+N71+M71</f>
        <v>0</v>
      </c>
      <c r="T71" s="4" t="s">
        <v>59</v>
      </c>
    </row>
    <row r="72" spans="1:20" x14ac:dyDescent="0.25">
      <c r="A72" s="118"/>
      <c r="B72" s="6" t="s">
        <v>57</v>
      </c>
      <c r="C72" s="7" t="s">
        <v>33</v>
      </c>
      <c r="D72" s="8">
        <v>405.99244854045713</v>
      </c>
      <c r="E72" s="8"/>
      <c r="F72" s="8">
        <v>496.65262666792358</v>
      </c>
      <c r="G72" s="8"/>
      <c r="H72" s="8" t="s">
        <v>58</v>
      </c>
      <c r="I72" s="13">
        <v>8592.4869999999955</v>
      </c>
      <c r="J72" s="13">
        <v>3842.2999999999993</v>
      </c>
      <c r="K72" s="13">
        <v>2836.6800000000003</v>
      </c>
      <c r="L72" s="13">
        <v>2739.369999999999</v>
      </c>
      <c r="M72" s="30"/>
      <c r="N72" s="30">
        <v>4156</v>
      </c>
      <c r="O72" s="31">
        <v>1170</v>
      </c>
      <c r="P72" s="30">
        <v>6834</v>
      </c>
      <c r="Q72" s="30">
        <v>10529.5</v>
      </c>
      <c r="R72" s="13"/>
      <c r="S72" s="13">
        <f>R72+Q72+P72+O72+N72+M72</f>
        <v>22689.5</v>
      </c>
      <c r="T72" s="4" t="s">
        <v>59</v>
      </c>
    </row>
    <row r="73" spans="1:20" x14ac:dyDescent="0.25">
      <c r="A73" s="118"/>
      <c r="B73" s="6" t="s">
        <v>97</v>
      </c>
      <c r="C73" s="7" t="s">
        <v>98</v>
      </c>
      <c r="D73" s="8">
        <v>1350.9570755882244</v>
      </c>
      <c r="E73" s="8"/>
      <c r="F73" s="8"/>
      <c r="G73" s="8"/>
      <c r="H73" s="8" t="s">
        <v>58</v>
      </c>
      <c r="I73" s="13">
        <v>1458.2219999999998</v>
      </c>
      <c r="J73" s="13">
        <v>0</v>
      </c>
      <c r="K73" s="13">
        <v>0</v>
      </c>
      <c r="L73" s="13">
        <v>0</v>
      </c>
      <c r="M73" s="30"/>
      <c r="N73" s="30"/>
      <c r="O73" s="31"/>
      <c r="P73" s="30"/>
      <c r="Q73" s="30"/>
      <c r="R73" s="13"/>
      <c r="S73" s="13">
        <f>R73+Q73+P73+O73+N73+M73</f>
        <v>0</v>
      </c>
      <c r="T73" s="4" t="s">
        <v>59</v>
      </c>
    </row>
    <row r="74" spans="1:20" x14ac:dyDescent="0.25">
      <c r="A74" s="118"/>
      <c r="B74" s="6" t="s">
        <v>186</v>
      </c>
      <c r="C74" s="7" t="s">
        <v>187</v>
      </c>
      <c r="D74" s="8"/>
      <c r="E74" s="8"/>
      <c r="F74" s="8"/>
      <c r="G74" s="8">
        <v>25.116481985977433</v>
      </c>
      <c r="H74" s="11">
        <f>I74+J74-G74-F74-E74-D74</f>
        <v>-25.116481985977433</v>
      </c>
      <c r="I74" s="13">
        <v>0</v>
      </c>
      <c r="J74" s="13">
        <v>0</v>
      </c>
      <c r="K74" s="13">
        <v>408.3</v>
      </c>
      <c r="L74" s="13">
        <v>28.44</v>
      </c>
      <c r="M74" s="30"/>
      <c r="N74" s="30"/>
      <c r="O74" s="31"/>
      <c r="P74" s="30"/>
      <c r="Q74" s="30"/>
      <c r="R74" s="13"/>
      <c r="S74" s="13">
        <f t="shared" ref="S74:S75" si="13">R74+Q74+P74+O74+N74+M74</f>
        <v>0</v>
      </c>
      <c r="T74" s="4" t="s">
        <v>193</v>
      </c>
    </row>
    <row r="75" spans="1:20" x14ac:dyDescent="0.25">
      <c r="A75" s="119"/>
      <c r="B75" s="6" t="s">
        <v>188</v>
      </c>
      <c r="C75" s="7" t="s">
        <v>189</v>
      </c>
      <c r="D75" s="8"/>
      <c r="E75" s="8"/>
      <c r="F75" s="8"/>
      <c r="G75" s="8">
        <v>26.836788971318352</v>
      </c>
      <c r="H75" s="11">
        <f>I75+J75-G75-F75-E75-D75</f>
        <v>-26.836788971318352</v>
      </c>
      <c r="I75" s="13"/>
      <c r="J75" s="13"/>
      <c r="K75" s="13"/>
      <c r="L75" s="13"/>
      <c r="M75" s="30"/>
      <c r="N75" s="30"/>
      <c r="O75" s="31"/>
      <c r="P75" s="30"/>
      <c r="Q75" s="30"/>
      <c r="R75" s="13"/>
      <c r="S75" s="13">
        <f t="shared" si="13"/>
        <v>0</v>
      </c>
      <c r="T75" s="24" t="s">
        <v>73</v>
      </c>
    </row>
    <row r="77" spans="1:20" x14ac:dyDescent="0.25">
      <c r="A77" s="81" t="s">
        <v>18</v>
      </c>
      <c r="B77" s="82"/>
      <c r="C77" s="83" t="s">
        <v>30</v>
      </c>
      <c r="D77" s="76" t="s">
        <v>19</v>
      </c>
      <c r="E77" s="85" t="s">
        <v>0</v>
      </c>
      <c r="F77" s="87" t="s">
        <v>1</v>
      </c>
      <c r="G77" s="88"/>
      <c r="H77" s="87" t="s">
        <v>2</v>
      </c>
      <c r="I77" s="88"/>
      <c r="J77" s="89" t="s">
        <v>3</v>
      </c>
      <c r="K77" s="90"/>
      <c r="L77" s="90"/>
      <c r="M77" s="90"/>
      <c r="N77" s="90"/>
      <c r="O77" s="91"/>
      <c r="P77" s="92" t="s">
        <v>34</v>
      </c>
      <c r="Q77" s="98" t="s">
        <v>35</v>
      </c>
    </row>
    <row r="78" spans="1:20" x14ac:dyDescent="0.25">
      <c r="A78" s="73" t="s">
        <v>20</v>
      </c>
      <c r="B78" s="73" t="s">
        <v>21</v>
      </c>
      <c r="C78" s="84"/>
      <c r="D78" s="10">
        <v>46282</v>
      </c>
      <c r="E78" s="86"/>
      <c r="F78" s="70" t="s">
        <v>4</v>
      </c>
      <c r="G78" s="70" t="s">
        <v>5</v>
      </c>
      <c r="H78" s="70" t="s">
        <v>6</v>
      </c>
      <c r="I78" s="70" t="s">
        <v>7</v>
      </c>
      <c r="J78" s="71" t="s">
        <v>8</v>
      </c>
      <c r="K78" s="5" t="s">
        <v>9</v>
      </c>
      <c r="L78" s="5" t="s">
        <v>27</v>
      </c>
      <c r="M78" s="71" t="s">
        <v>10</v>
      </c>
      <c r="N78" s="71" t="s">
        <v>11</v>
      </c>
      <c r="O78" s="12" t="s">
        <v>40</v>
      </c>
      <c r="P78" s="93"/>
      <c r="Q78" s="98"/>
    </row>
    <row r="79" spans="1:20" x14ac:dyDescent="0.25">
      <c r="A79" s="72" t="s">
        <v>147</v>
      </c>
      <c r="B79" s="6" t="s">
        <v>148</v>
      </c>
      <c r="C79" s="7" t="s">
        <v>149</v>
      </c>
      <c r="D79" s="8">
        <v>5513.180160248191</v>
      </c>
      <c r="E79" s="11">
        <f>F79+G79-D79</f>
        <v>-246.48016024818935</v>
      </c>
      <c r="F79" s="13">
        <v>5266.7000000000016</v>
      </c>
      <c r="G79" s="13">
        <v>0</v>
      </c>
      <c r="H79" s="13">
        <v>0</v>
      </c>
      <c r="I79" s="13">
        <v>23.62</v>
      </c>
      <c r="J79" s="13"/>
      <c r="K79" s="13"/>
      <c r="L79" s="13"/>
      <c r="M79" s="13"/>
      <c r="N79" s="13"/>
      <c r="O79" s="13"/>
      <c r="P79" s="13">
        <f>O79+N79+M79+L79+K79+J79</f>
        <v>0</v>
      </c>
      <c r="Q79" s="4" t="s">
        <v>59</v>
      </c>
    </row>
    <row r="81" spans="1:21" x14ac:dyDescent="0.25">
      <c r="A81" s="81" t="s">
        <v>18</v>
      </c>
      <c r="B81" s="82"/>
      <c r="C81" s="83" t="s">
        <v>30</v>
      </c>
      <c r="D81" s="94" t="s">
        <v>19</v>
      </c>
      <c r="E81" s="95"/>
      <c r="F81" s="96"/>
      <c r="G81" s="85" t="s">
        <v>0</v>
      </c>
      <c r="H81" s="87" t="s">
        <v>1</v>
      </c>
      <c r="I81" s="88"/>
      <c r="J81" s="87" t="s">
        <v>2</v>
      </c>
      <c r="K81" s="88"/>
      <c r="L81" s="89" t="s">
        <v>3</v>
      </c>
      <c r="M81" s="90"/>
      <c r="N81" s="90"/>
      <c r="O81" s="90"/>
      <c r="P81" s="90"/>
      <c r="Q81" s="91"/>
      <c r="R81" s="92" t="s">
        <v>34</v>
      </c>
      <c r="S81" s="85" t="s">
        <v>35</v>
      </c>
    </row>
    <row r="82" spans="1:21" x14ac:dyDescent="0.25">
      <c r="A82" s="73" t="s">
        <v>20</v>
      </c>
      <c r="B82" s="73" t="s">
        <v>21</v>
      </c>
      <c r="C82" s="84"/>
      <c r="D82" s="10">
        <v>46262</v>
      </c>
      <c r="E82" s="10">
        <v>46268</v>
      </c>
      <c r="F82" s="10">
        <v>46275</v>
      </c>
      <c r="G82" s="86"/>
      <c r="H82" s="70" t="s">
        <v>4</v>
      </c>
      <c r="I82" s="70" t="s">
        <v>5</v>
      </c>
      <c r="J82" s="70" t="s">
        <v>6</v>
      </c>
      <c r="K82" s="70" t="s">
        <v>7</v>
      </c>
      <c r="L82" s="71" t="s">
        <v>8</v>
      </c>
      <c r="M82" s="5" t="s">
        <v>9</v>
      </c>
      <c r="N82" s="5" t="s">
        <v>27</v>
      </c>
      <c r="O82" s="71" t="s">
        <v>10</v>
      </c>
      <c r="P82" s="71" t="s">
        <v>11</v>
      </c>
      <c r="Q82" s="12" t="s">
        <v>40</v>
      </c>
      <c r="R82" s="93"/>
      <c r="S82" s="86"/>
    </row>
    <row r="83" spans="1:21" x14ac:dyDescent="0.25">
      <c r="A83" s="109" t="s">
        <v>85</v>
      </c>
      <c r="B83" s="6" t="s">
        <v>86</v>
      </c>
      <c r="C83" s="7" t="s">
        <v>87</v>
      </c>
      <c r="D83" s="8">
        <v>149.02442631301247</v>
      </c>
      <c r="E83" s="8">
        <v>6.3900213426712842</v>
      </c>
      <c r="F83" s="8">
        <v>4.5643009590509172</v>
      </c>
      <c r="G83" s="8" t="s">
        <v>58</v>
      </c>
      <c r="H83" s="8">
        <v>448.47799999999995</v>
      </c>
      <c r="I83" s="8">
        <v>0</v>
      </c>
      <c r="J83" s="8">
        <v>0</v>
      </c>
      <c r="K83" s="8">
        <v>127.09899999999999</v>
      </c>
      <c r="L83" s="8"/>
      <c r="M83" s="8"/>
      <c r="N83" s="8"/>
      <c r="O83" s="8"/>
      <c r="P83" s="8"/>
      <c r="Q83" s="8"/>
      <c r="R83" s="13">
        <f>P83+O83+N83+M83+L83+Q83</f>
        <v>0</v>
      </c>
      <c r="S83" s="4" t="s">
        <v>59</v>
      </c>
    </row>
    <row r="84" spans="1:21" x14ac:dyDescent="0.25">
      <c r="A84" s="114"/>
      <c r="B84" s="6" t="s">
        <v>88</v>
      </c>
      <c r="C84" s="7" t="s">
        <v>89</v>
      </c>
      <c r="D84" s="8">
        <v>31.493676617451332</v>
      </c>
      <c r="E84" s="8">
        <v>2.0539354315729126</v>
      </c>
      <c r="F84" s="8"/>
      <c r="G84" s="8" t="s">
        <v>58</v>
      </c>
      <c r="H84" s="8">
        <v>808.20800000000008</v>
      </c>
      <c r="I84" s="8">
        <v>0</v>
      </c>
      <c r="J84" s="8">
        <v>0</v>
      </c>
      <c r="K84" s="8">
        <v>0</v>
      </c>
      <c r="L84" s="8"/>
      <c r="M84" s="8"/>
      <c r="N84" s="8"/>
      <c r="O84" s="8"/>
      <c r="P84" s="8"/>
      <c r="Q84" s="8"/>
      <c r="R84" s="13">
        <f t="shared" ref="R84:R85" si="14">P84+O84+N84+M84+L84+Q84</f>
        <v>0</v>
      </c>
      <c r="S84" s="4" t="s">
        <v>59</v>
      </c>
    </row>
    <row r="85" spans="1:21" x14ac:dyDescent="0.25">
      <c r="A85" s="114"/>
      <c r="B85" s="6" t="s">
        <v>90</v>
      </c>
      <c r="C85" s="7" t="s">
        <v>91</v>
      </c>
      <c r="D85" s="8">
        <v>53.858751316800827</v>
      </c>
      <c r="E85" s="8">
        <v>4.3360859110983716</v>
      </c>
      <c r="F85" s="8"/>
      <c r="G85" s="8" t="s">
        <v>58</v>
      </c>
      <c r="H85" s="8">
        <v>762.32499999999959</v>
      </c>
      <c r="I85" s="8">
        <v>0</v>
      </c>
      <c r="J85" s="8">
        <v>0</v>
      </c>
      <c r="K85" s="8">
        <v>0</v>
      </c>
      <c r="L85" s="8"/>
      <c r="M85" s="8"/>
      <c r="N85" s="8"/>
      <c r="O85" s="8"/>
      <c r="P85" s="8"/>
      <c r="Q85" s="8"/>
      <c r="R85" s="13">
        <f t="shared" si="14"/>
        <v>0</v>
      </c>
      <c r="S85" s="4" t="s">
        <v>59</v>
      </c>
    </row>
    <row r="87" spans="1:21" x14ac:dyDescent="0.25">
      <c r="A87" s="81" t="s">
        <v>18</v>
      </c>
      <c r="B87" s="82"/>
      <c r="C87" s="83" t="s">
        <v>30</v>
      </c>
      <c r="D87" s="94" t="s">
        <v>19</v>
      </c>
      <c r="E87" s="96"/>
      <c r="F87" s="85" t="s">
        <v>0</v>
      </c>
      <c r="G87" s="87" t="s">
        <v>1</v>
      </c>
      <c r="H87" s="88"/>
      <c r="I87" s="87" t="s">
        <v>2</v>
      </c>
      <c r="J87" s="88"/>
      <c r="K87" s="89" t="s">
        <v>3</v>
      </c>
      <c r="L87" s="90"/>
      <c r="M87" s="90"/>
      <c r="N87" s="90"/>
      <c r="O87" s="90"/>
      <c r="P87" s="91"/>
      <c r="Q87" s="92" t="s">
        <v>34</v>
      </c>
      <c r="R87" s="85" t="s">
        <v>35</v>
      </c>
    </row>
    <row r="88" spans="1:21" x14ac:dyDescent="0.25">
      <c r="A88" s="73" t="s">
        <v>20</v>
      </c>
      <c r="B88" s="73" t="s">
        <v>21</v>
      </c>
      <c r="C88" s="84"/>
      <c r="D88" s="10">
        <v>46262</v>
      </c>
      <c r="E88" s="10">
        <v>46268</v>
      </c>
      <c r="F88" s="86"/>
      <c r="G88" s="70" t="s">
        <v>4</v>
      </c>
      <c r="H88" s="70" t="s">
        <v>5</v>
      </c>
      <c r="I88" s="70" t="s">
        <v>6</v>
      </c>
      <c r="J88" s="70" t="s">
        <v>7</v>
      </c>
      <c r="K88" s="71" t="s">
        <v>8</v>
      </c>
      <c r="L88" s="5" t="s">
        <v>9</v>
      </c>
      <c r="M88" s="5" t="s">
        <v>27</v>
      </c>
      <c r="N88" s="71" t="s">
        <v>10</v>
      </c>
      <c r="O88" s="71" t="s">
        <v>11</v>
      </c>
      <c r="P88" s="12" t="s">
        <v>40</v>
      </c>
      <c r="Q88" s="93"/>
      <c r="R88" s="86"/>
    </row>
    <row r="89" spans="1:21" x14ac:dyDescent="0.25">
      <c r="A89" s="72" t="s">
        <v>92</v>
      </c>
      <c r="B89" s="6" t="s">
        <v>93</v>
      </c>
      <c r="C89" s="7" t="s">
        <v>94</v>
      </c>
      <c r="D89" s="8">
        <v>3.6768457076043601</v>
      </c>
      <c r="E89" s="8">
        <v>0.45960571345054502</v>
      </c>
      <c r="F89" s="8" t="s">
        <v>58</v>
      </c>
      <c r="G89" s="13">
        <v>228.28600000000006</v>
      </c>
      <c r="H89" s="13">
        <v>0</v>
      </c>
      <c r="I89" s="13">
        <v>0</v>
      </c>
      <c r="J89" s="13">
        <v>0</v>
      </c>
      <c r="K89" s="13"/>
      <c r="L89" s="13"/>
      <c r="M89" s="13"/>
      <c r="N89" s="13"/>
      <c r="O89" s="13"/>
      <c r="P89" s="13"/>
      <c r="Q89" s="13">
        <f>O89+N89+M89+L89+K89+P89</f>
        <v>0</v>
      </c>
      <c r="R89" s="4" t="s">
        <v>59</v>
      </c>
    </row>
    <row r="91" spans="1:21" ht="16.5" x14ac:dyDescent="0.3">
      <c r="A91" s="81" t="s">
        <v>18</v>
      </c>
      <c r="B91" s="82"/>
      <c r="C91" s="83" t="s">
        <v>30</v>
      </c>
      <c r="D91" s="94" t="s">
        <v>19</v>
      </c>
      <c r="E91" s="96"/>
      <c r="F91" s="85" t="s">
        <v>0</v>
      </c>
      <c r="G91" s="87" t="s">
        <v>1</v>
      </c>
      <c r="H91" s="88"/>
      <c r="I91" s="87" t="s">
        <v>2</v>
      </c>
      <c r="J91" s="88"/>
      <c r="K91" s="89" t="s">
        <v>3</v>
      </c>
      <c r="L91" s="90"/>
      <c r="M91" s="90"/>
      <c r="N91" s="90"/>
      <c r="O91" s="90"/>
      <c r="P91" s="91"/>
      <c r="Q91" s="92" t="s">
        <v>34</v>
      </c>
      <c r="R91" s="98" t="s">
        <v>35</v>
      </c>
      <c r="S91" s="1"/>
      <c r="U91" s="3"/>
    </row>
    <row r="92" spans="1:21" ht="16.5" x14ac:dyDescent="0.3">
      <c r="A92" s="73" t="s">
        <v>20</v>
      </c>
      <c r="B92" s="73" t="s">
        <v>21</v>
      </c>
      <c r="C92" s="84"/>
      <c r="D92" s="10">
        <v>46262</v>
      </c>
      <c r="E92" s="10">
        <v>46268</v>
      </c>
      <c r="F92" s="86"/>
      <c r="G92" s="70" t="s">
        <v>4</v>
      </c>
      <c r="H92" s="70" t="s">
        <v>5</v>
      </c>
      <c r="I92" s="70" t="s">
        <v>6</v>
      </c>
      <c r="J92" s="70" t="s">
        <v>7</v>
      </c>
      <c r="K92" s="71" t="s">
        <v>8</v>
      </c>
      <c r="L92" s="5" t="s">
        <v>9</v>
      </c>
      <c r="M92" s="5" t="s">
        <v>27</v>
      </c>
      <c r="N92" s="71" t="s">
        <v>10</v>
      </c>
      <c r="O92" s="71" t="s">
        <v>11</v>
      </c>
      <c r="P92" s="12" t="s">
        <v>40</v>
      </c>
      <c r="Q92" s="93"/>
      <c r="R92" s="98"/>
      <c r="S92" s="25"/>
      <c r="U92" s="3"/>
    </row>
    <row r="93" spans="1:21" x14ac:dyDescent="0.25">
      <c r="A93" s="122" t="s">
        <v>74</v>
      </c>
      <c r="B93" s="6" t="s">
        <v>75</v>
      </c>
      <c r="C93" s="7" t="s">
        <v>76</v>
      </c>
      <c r="D93" s="8"/>
      <c r="E93" s="8">
        <v>48.175388727572511</v>
      </c>
      <c r="F93" s="8" t="s">
        <v>58</v>
      </c>
      <c r="G93" s="13">
        <v>472.90300000000002</v>
      </c>
      <c r="H93" s="13">
        <v>0</v>
      </c>
      <c r="I93" s="13">
        <v>189.8</v>
      </c>
      <c r="J93" s="13">
        <v>0</v>
      </c>
      <c r="K93" s="13"/>
      <c r="L93" s="13"/>
      <c r="M93" s="13"/>
      <c r="N93" s="13"/>
      <c r="O93" s="13"/>
      <c r="P93" s="13"/>
      <c r="Q93" s="13">
        <f>P93+O93+N93+M93+L93+K93</f>
        <v>0</v>
      </c>
      <c r="R93" s="4" t="s">
        <v>59</v>
      </c>
      <c r="S93" s="25"/>
    </row>
    <row r="94" spans="1:21" x14ac:dyDescent="0.25">
      <c r="A94" s="121"/>
      <c r="B94" s="6" t="s">
        <v>83</v>
      </c>
      <c r="C94" s="7" t="s">
        <v>84</v>
      </c>
      <c r="D94" s="8">
        <v>88.59219425182809</v>
      </c>
      <c r="E94" s="8"/>
      <c r="F94" s="8" t="s">
        <v>58</v>
      </c>
      <c r="G94" s="13">
        <v>1515.2200000000003</v>
      </c>
      <c r="H94" s="13">
        <v>0</v>
      </c>
      <c r="I94" s="13">
        <v>20.5</v>
      </c>
      <c r="J94" s="13">
        <v>0</v>
      </c>
      <c r="K94" s="13"/>
      <c r="L94" s="13"/>
      <c r="M94" s="13"/>
      <c r="N94" s="13"/>
      <c r="O94" s="13"/>
      <c r="P94" s="13"/>
      <c r="Q94" s="13">
        <f>P94+O94+N94+M94+L94+K94</f>
        <v>0</v>
      </c>
      <c r="R94" s="4" t="s">
        <v>59</v>
      </c>
      <c r="S94" s="25"/>
    </row>
    <row r="96" spans="1:21" x14ac:dyDescent="0.25">
      <c r="A96" s="102" t="s">
        <v>18</v>
      </c>
      <c r="B96" s="102"/>
      <c r="C96" s="102" t="s">
        <v>30</v>
      </c>
      <c r="D96" s="94" t="s">
        <v>19</v>
      </c>
      <c r="E96" s="96"/>
      <c r="F96" s="98" t="s">
        <v>0</v>
      </c>
      <c r="G96" s="97" t="s">
        <v>1</v>
      </c>
      <c r="H96" s="97"/>
      <c r="I96" s="97" t="s">
        <v>2</v>
      </c>
      <c r="J96" s="97"/>
      <c r="K96" s="115" t="s">
        <v>3</v>
      </c>
      <c r="L96" s="115"/>
      <c r="M96" s="115"/>
      <c r="N96" s="115"/>
      <c r="O96" s="115"/>
      <c r="P96" s="115"/>
      <c r="Q96" s="116" t="s">
        <v>34</v>
      </c>
      <c r="R96" s="98" t="s">
        <v>35</v>
      </c>
    </row>
    <row r="97" spans="1:18" x14ac:dyDescent="0.25">
      <c r="A97" s="73" t="s">
        <v>20</v>
      </c>
      <c r="B97" s="73" t="s">
        <v>21</v>
      </c>
      <c r="C97" s="102"/>
      <c r="D97" s="10">
        <v>46284</v>
      </c>
      <c r="E97" s="10">
        <v>46289</v>
      </c>
      <c r="F97" s="98"/>
      <c r="G97" s="70" t="s">
        <v>4</v>
      </c>
      <c r="H97" s="70" t="s">
        <v>5</v>
      </c>
      <c r="I97" s="70" t="s">
        <v>6</v>
      </c>
      <c r="J97" s="70" t="s">
        <v>7</v>
      </c>
      <c r="K97" s="71" t="s">
        <v>8</v>
      </c>
      <c r="L97" s="5" t="s">
        <v>9</v>
      </c>
      <c r="M97" s="5" t="s">
        <v>27</v>
      </c>
      <c r="N97" s="71" t="s">
        <v>10</v>
      </c>
      <c r="O97" s="71" t="s">
        <v>11</v>
      </c>
      <c r="P97" s="12" t="s">
        <v>40</v>
      </c>
      <c r="Q97" s="116"/>
      <c r="R97" s="98"/>
    </row>
    <row r="98" spans="1:18" x14ac:dyDescent="0.25">
      <c r="A98" s="72" t="s">
        <v>99</v>
      </c>
      <c r="B98" s="6" t="s">
        <v>75</v>
      </c>
      <c r="C98" s="7" t="s">
        <v>76</v>
      </c>
      <c r="D98" s="8">
        <v>102.66590331830994</v>
      </c>
      <c r="E98" s="8">
        <v>188.37118288983407</v>
      </c>
      <c r="F98" s="8" t="s">
        <v>58</v>
      </c>
      <c r="G98" s="13">
        <v>683.86</v>
      </c>
      <c r="H98" s="13">
        <v>0</v>
      </c>
      <c r="I98" s="13">
        <v>2446.8799999999987</v>
      </c>
      <c r="J98" s="13">
        <v>0</v>
      </c>
      <c r="K98" s="13"/>
      <c r="L98" s="13"/>
      <c r="M98" s="13"/>
      <c r="N98" s="13"/>
      <c r="O98" s="13"/>
      <c r="P98" s="13"/>
      <c r="Q98" s="13">
        <f>P98+O98+N98+M98+L98+K98</f>
        <v>0</v>
      </c>
      <c r="R98" s="4" t="s">
        <v>59</v>
      </c>
    </row>
    <row r="100" spans="1:18" x14ac:dyDescent="0.25">
      <c r="A100" s="102" t="s">
        <v>18</v>
      </c>
      <c r="B100" s="102"/>
      <c r="C100" s="102" t="s">
        <v>30</v>
      </c>
      <c r="D100" s="76" t="s">
        <v>19</v>
      </c>
      <c r="E100" s="85" t="s">
        <v>0</v>
      </c>
      <c r="F100" s="87" t="s">
        <v>1</v>
      </c>
      <c r="G100" s="88"/>
      <c r="H100" s="87" t="s">
        <v>2</v>
      </c>
      <c r="I100" s="88"/>
      <c r="J100" s="89" t="s">
        <v>3</v>
      </c>
      <c r="K100" s="90"/>
      <c r="L100" s="90"/>
      <c r="M100" s="90"/>
      <c r="N100" s="90"/>
      <c r="O100" s="91"/>
      <c r="P100" s="92" t="s">
        <v>34</v>
      </c>
      <c r="Q100" s="98" t="s">
        <v>35</v>
      </c>
    </row>
    <row r="101" spans="1:18" x14ac:dyDescent="0.25">
      <c r="A101" s="73" t="s">
        <v>20</v>
      </c>
      <c r="B101" s="73" t="s">
        <v>21</v>
      </c>
      <c r="C101" s="102"/>
      <c r="D101" s="10">
        <v>46272</v>
      </c>
      <c r="E101" s="86"/>
      <c r="F101" s="70" t="s">
        <v>4</v>
      </c>
      <c r="G101" s="70" t="s">
        <v>5</v>
      </c>
      <c r="H101" s="70" t="s">
        <v>6</v>
      </c>
      <c r="I101" s="70" t="s">
        <v>7</v>
      </c>
      <c r="J101" s="71" t="s">
        <v>8</v>
      </c>
      <c r="K101" s="5" t="s">
        <v>9</v>
      </c>
      <c r="L101" s="5" t="s">
        <v>27</v>
      </c>
      <c r="M101" s="71" t="s">
        <v>10</v>
      </c>
      <c r="N101" s="71" t="s">
        <v>11</v>
      </c>
      <c r="O101" s="12" t="s">
        <v>40</v>
      </c>
      <c r="P101" s="93"/>
      <c r="Q101" s="98"/>
    </row>
    <row r="102" spans="1:18" x14ac:dyDescent="0.25">
      <c r="A102" s="109" t="s">
        <v>128</v>
      </c>
      <c r="B102" s="6" t="s">
        <v>129</v>
      </c>
      <c r="C102" s="7" t="s">
        <v>124</v>
      </c>
      <c r="D102" s="8">
        <v>8.4230085050880348</v>
      </c>
      <c r="E102" s="8" t="s">
        <v>58</v>
      </c>
      <c r="F102" s="8">
        <v>309.44099999999997</v>
      </c>
      <c r="G102" s="8">
        <v>0</v>
      </c>
      <c r="H102" s="8">
        <v>0</v>
      </c>
      <c r="I102" s="8">
        <v>0</v>
      </c>
      <c r="J102" s="13"/>
      <c r="K102" s="13"/>
      <c r="L102" s="13"/>
      <c r="M102" s="13"/>
      <c r="N102" s="13"/>
      <c r="O102" s="13"/>
      <c r="P102" s="13">
        <f t="shared" ref="P102:P109" si="15">O102+N102+M102+L102+K102+J102</f>
        <v>0</v>
      </c>
      <c r="Q102" s="4" t="s">
        <v>59</v>
      </c>
    </row>
    <row r="103" spans="1:18" x14ac:dyDescent="0.25">
      <c r="A103" s="114"/>
      <c r="B103" s="6" t="s">
        <v>130</v>
      </c>
      <c r="C103" s="7" t="s">
        <v>131</v>
      </c>
      <c r="D103" s="8">
        <v>16.308378169425769</v>
      </c>
      <c r="E103" s="8" t="s">
        <v>58</v>
      </c>
      <c r="F103" s="8">
        <v>29.588999999999999</v>
      </c>
      <c r="G103" s="8">
        <v>0</v>
      </c>
      <c r="H103" s="8">
        <v>0</v>
      </c>
      <c r="I103" s="8">
        <v>0</v>
      </c>
      <c r="J103" s="13"/>
      <c r="K103" s="13">
        <v>86</v>
      </c>
      <c r="L103" s="13"/>
      <c r="M103" s="13"/>
      <c r="N103" s="13"/>
      <c r="O103" s="13"/>
      <c r="P103" s="13">
        <f t="shared" si="15"/>
        <v>86</v>
      </c>
      <c r="Q103" s="4" t="s">
        <v>59</v>
      </c>
    </row>
    <row r="104" spans="1:18" x14ac:dyDescent="0.25">
      <c r="A104" s="114"/>
      <c r="B104" s="6" t="s">
        <v>132</v>
      </c>
      <c r="C104" s="7" t="s">
        <v>113</v>
      </c>
      <c r="D104" s="8">
        <v>7.347730823587435</v>
      </c>
      <c r="E104" s="8" t="s">
        <v>58</v>
      </c>
      <c r="F104" s="8">
        <v>75.686999999999998</v>
      </c>
      <c r="G104" s="8">
        <v>0</v>
      </c>
      <c r="H104" s="8">
        <v>0</v>
      </c>
      <c r="I104" s="8">
        <v>0</v>
      </c>
      <c r="J104" s="13"/>
      <c r="K104" s="13"/>
      <c r="L104" s="13"/>
      <c r="M104" s="13"/>
      <c r="N104" s="13"/>
      <c r="O104" s="13"/>
      <c r="P104" s="13">
        <f t="shared" si="15"/>
        <v>0</v>
      </c>
      <c r="Q104" s="4" t="s">
        <v>59</v>
      </c>
    </row>
    <row r="105" spans="1:18" x14ac:dyDescent="0.25">
      <c r="A105" s="114"/>
      <c r="B105" s="6" t="s">
        <v>209</v>
      </c>
      <c r="C105" s="7" t="s">
        <v>191</v>
      </c>
      <c r="D105" s="8">
        <v>5.5556013544197675</v>
      </c>
      <c r="E105" s="8" t="s">
        <v>58</v>
      </c>
      <c r="F105" s="8">
        <v>89.685000000000002</v>
      </c>
      <c r="G105" s="8">
        <v>0</v>
      </c>
      <c r="H105" s="8">
        <v>0</v>
      </c>
      <c r="I105" s="8">
        <v>0</v>
      </c>
      <c r="J105" s="13"/>
      <c r="K105" s="13"/>
      <c r="L105" s="13"/>
      <c r="M105" s="13"/>
      <c r="N105" s="13"/>
      <c r="O105" s="13"/>
      <c r="P105" s="13">
        <f t="shared" si="15"/>
        <v>0</v>
      </c>
      <c r="Q105" s="4" t="s">
        <v>59</v>
      </c>
    </row>
    <row r="106" spans="1:18" x14ac:dyDescent="0.25">
      <c r="A106" s="114"/>
      <c r="B106" s="6" t="s">
        <v>210</v>
      </c>
      <c r="C106" s="7" t="s">
        <v>200</v>
      </c>
      <c r="D106" s="8">
        <v>12.903332178007203</v>
      </c>
      <c r="E106" s="8" t="s">
        <v>58</v>
      </c>
      <c r="F106" s="8">
        <v>43.403999999999996</v>
      </c>
      <c r="G106" s="8">
        <v>0</v>
      </c>
      <c r="H106" s="8">
        <v>0</v>
      </c>
      <c r="I106" s="8">
        <v>0</v>
      </c>
      <c r="J106" s="13"/>
      <c r="K106" s="13"/>
      <c r="L106" s="13"/>
      <c r="M106" s="13"/>
      <c r="N106" s="13"/>
      <c r="O106" s="13"/>
      <c r="P106" s="13">
        <f t="shared" si="15"/>
        <v>0</v>
      </c>
      <c r="Q106" s="4" t="s">
        <v>59</v>
      </c>
    </row>
    <row r="107" spans="1:18" x14ac:dyDescent="0.25">
      <c r="A107" s="114"/>
      <c r="B107" s="6" t="s">
        <v>133</v>
      </c>
      <c r="C107" s="7" t="s">
        <v>117</v>
      </c>
      <c r="D107" s="8">
        <v>11.828054496506603</v>
      </c>
      <c r="E107" s="8" t="s">
        <v>58</v>
      </c>
      <c r="F107" s="8">
        <v>34.786999999999999</v>
      </c>
      <c r="G107" s="8">
        <v>0</v>
      </c>
      <c r="H107" s="8">
        <v>0</v>
      </c>
      <c r="I107" s="8">
        <v>0</v>
      </c>
      <c r="J107" s="13"/>
      <c r="K107" s="13"/>
      <c r="L107" s="13"/>
      <c r="M107" s="13"/>
      <c r="N107" s="13"/>
      <c r="O107" s="13"/>
      <c r="P107" s="13">
        <f t="shared" si="15"/>
        <v>0</v>
      </c>
      <c r="Q107" s="4" t="s">
        <v>59</v>
      </c>
    </row>
    <row r="108" spans="1:18" x14ac:dyDescent="0.25">
      <c r="A108" s="114"/>
      <c r="B108" s="6" t="s">
        <v>211</v>
      </c>
      <c r="C108" s="7" t="s">
        <v>202</v>
      </c>
      <c r="D108" s="8">
        <v>4.4803236729191678</v>
      </c>
      <c r="E108" s="8" t="s">
        <v>58</v>
      </c>
      <c r="F108" s="8">
        <v>66.900000000000006</v>
      </c>
      <c r="G108" s="8">
        <v>0</v>
      </c>
      <c r="H108" s="8">
        <v>0</v>
      </c>
      <c r="I108" s="8">
        <v>0</v>
      </c>
      <c r="J108" s="13"/>
      <c r="K108" s="13"/>
      <c r="L108" s="13"/>
      <c r="M108" s="13"/>
      <c r="N108" s="13"/>
      <c r="O108" s="13"/>
      <c r="P108" s="13">
        <f t="shared" si="15"/>
        <v>0</v>
      </c>
      <c r="Q108" s="4" t="s">
        <v>59</v>
      </c>
    </row>
    <row r="109" spans="1:18" x14ac:dyDescent="0.25">
      <c r="A109" s="114"/>
      <c r="B109" s="6" t="s">
        <v>212</v>
      </c>
      <c r="C109" s="7" t="s">
        <v>121</v>
      </c>
      <c r="D109" s="8">
        <v>6.9893049297539012</v>
      </c>
      <c r="E109" s="8" t="s">
        <v>58</v>
      </c>
      <c r="F109" s="8">
        <v>36.504000000000005</v>
      </c>
      <c r="G109" s="8">
        <v>0</v>
      </c>
      <c r="H109" s="8">
        <v>0</v>
      </c>
      <c r="I109" s="8">
        <v>0</v>
      </c>
      <c r="J109" s="13"/>
      <c r="K109" s="13"/>
      <c r="L109" s="13"/>
      <c r="M109" s="13"/>
      <c r="N109" s="13"/>
      <c r="O109" s="13"/>
      <c r="P109" s="13">
        <f t="shared" si="15"/>
        <v>0</v>
      </c>
      <c r="Q109" s="4" t="s">
        <v>59</v>
      </c>
    </row>
  </sheetData>
  <mergeCells count="126">
    <mergeCell ref="J100:O100"/>
    <mergeCell ref="P100:P101"/>
    <mergeCell ref="Q100:Q101"/>
    <mergeCell ref="P51:P52"/>
    <mergeCell ref="Q51:Q52"/>
    <mergeCell ref="A53:A60"/>
    <mergeCell ref="D96:E96"/>
    <mergeCell ref="A102:A109"/>
    <mergeCell ref="A100:B100"/>
    <mergeCell ref="C100:C101"/>
    <mergeCell ref="E100:E101"/>
    <mergeCell ref="F100:G100"/>
    <mergeCell ref="H100:I100"/>
    <mergeCell ref="A51:B51"/>
    <mergeCell ref="C51:C52"/>
    <mergeCell ref="E51:E52"/>
    <mergeCell ref="F51:G51"/>
    <mergeCell ref="H51:I51"/>
    <mergeCell ref="J51:O51"/>
    <mergeCell ref="K41:P41"/>
    <mergeCell ref="Q41:Q42"/>
    <mergeCell ref="R41:R42"/>
    <mergeCell ref="A43:A49"/>
    <mergeCell ref="A41:B41"/>
    <mergeCell ref="C41:C42"/>
    <mergeCell ref="D41:E41"/>
    <mergeCell ref="F41:F42"/>
    <mergeCell ref="G41:H41"/>
    <mergeCell ref="I41:J41"/>
    <mergeCell ref="S2:S3"/>
    <mergeCell ref="T2:T3"/>
    <mergeCell ref="A18:R18"/>
    <mergeCell ref="D19:H19"/>
    <mergeCell ref="D2:G2"/>
    <mergeCell ref="A93:A94"/>
    <mergeCell ref="R91:R92"/>
    <mergeCell ref="A96:B96"/>
    <mergeCell ref="C96:C97"/>
    <mergeCell ref="F96:F97"/>
    <mergeCell ref="G96:H96"/>
    <mergeCell ref="I96:J96"/>
    <mergeCell ref="K96:P96"/>
    <mergeCell ref="Q96:Q97"/>
    <mergeCell ref="R96:R97"/>
    <mergeCell ref="Q87:Q88"/>
    <mergeCell ref="R87:R88"/>
    <mergeCell ref="A91:B91"/>
    <mergeCell ref="C91:C92"/>
    <mergeCell ref="D91:E91"/>
    <mergeCell ref="F91:F92"/>
    <mergeCell ref="G91:H91"/>
    <mergeCell ref="I91:J91"/>
    <mergeCell ref="K91:P91"/>
    <mergeCell ref="Q91:Q92"/>
    <mergeCell ref="R81:R82"/>
    <mergeCell ref="S81:S82"/>
    <mergeCell ref="A83:A85"/>
    <mergeCell ref="A87:B87"/>
    <mergeCell ref="C87:C88"/>
    <mergeCell ref="D87:E87"/>
    <mergeCell ref="F87:F88"/>
    <mergeCell ref="G87:H87"/>
    <mergeCell ref="I87:J87"/>
    <mergeCell ref="K87:P87"/>
    <mergeCell ref="J77:O77"/>
    <mergeCell ref="P77:P78"/>
    <mergeCell ref="Q77:Q78"/>
    <mergeCell ref="A81:B81"/>
    <mergeCell ref="C81:C82"/>
    <mergeCell ref="D81:F81"/>
    <mergeCell ref="G81:G82"/>
    <mergeCell ref="H81:I81"/>
    <mergeCell ref="J81:K81"/>
    <mergeCell ref="L81:Q81"/>
    <mergeCell ref="K68:L68"/>
    <mergeCell ref="M68:R68"/>
    <mergeCell ref="S68:S69"/>
    <mergeCell ref="T68:T69"/>
    <mergeCell ref="A70:A75"/>
    <mergeCell ref="A77:B77"/>
    <mergeCell ref="C77:C78"/>
    <mergeCell ref="E77:E78"/>
    <mergeCell ref="F77:G77"/>
    <mergeCell ref="H77:I77"/>
    <mergeCell ref="H62:I62"/>
    <mergeCell ref="J62:O62"/>
    <mergeCell ref="P62:P63"/>
    <mergeCell ref="Q62:Q63"/>
    <mergeCell ref="A64:A66"/>
    <mergeCell ref="A68:B68"/>
    <mergeCell ref="C68:C69"/>
    <mergeCell ref="D68:G68"/>
    <mergeCell ref="H68:H69"/>
    <mergeCell ref="I68:J68"/>
    <mergeCell ref="T19:T20"/>
    <mergeCell ref="U19:U20"/>
    <mergeCell ref="A21:A39"/>
    <mergeCell ref="A40:Q40"/>
    <mergeCell ref="R40:T40"/>
    <mergeCell ref="A62:B62"/>
    <mergeCell ref="C62:C63"/>
    <mergeCell ref="E62:E63"/>
    <mergeCell ref="F62:G62"/>
    <mergeCell ref="R10:R11"/>
    <mergeCell ref="A12:A17"/>
    <mergeCell ref="A19:B19"/>
    <mergeCell ref="C19:C20"/>
    <mergeCell ref="I19:I20"/>
    <mergeCell ref="J19:K19"/>
    <mergeCell ref="L19:M19"/>
    <mergeCell ref="N19:S19"/>
    <mergeCell ref="A4:A8"/>
    <mergeCell ref="A9:T9"/>
    <mergeCell ref="A10:B10"/>
    <mergeCell ref="C10:C11"/>
    <mergeCell ref="D10:E10"/>
    <mergeCell ref="F10:F11"/>
    <mergeCell ref="G10:H10"/>
    <mergeCell ref="I10:J10"/>
    <mergeCell ref="K10:P10"/>
    <mergeCell ref="Q10:Q11"/>
    <mergeCell ref="A2:B2"/>
    <mergeCell ref="C2:C3"/>
    <mergeCell ref="H2:H3"/>
    <mergeCell ref="M2:R2"/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O20"/>
  <sheetViews>
    <sheetView workbookViewId="0">
      <selection activeCell="M24" sqref="M24"/>
    </sheetView>
  </sheetViews>
  <sheetFormatPr defaultRowHeight="15" x14ac:dyDescent="0.25"/>
  <sheetData>
    <row r="1" spans="2:12" x14ac:dyDescent="0.25">
      <c r="B1" t="s">
        <v>16</v>
      </c>
    </row>
    <row r="2" spans="2:12" ht="16.5" x14ac:dyDescent="0.3">
      <c r="B2" s="3"/>
    </row>
    <row r="3" spans="2:12" x14ac:dyDescent="0.25">
      <c r="D3" t="s">
        <v>13</v>
      </c>
      <c r="K3" t="s">
        <v>14</v>
      </c>
    </row>
    <row r="4" spans="2:12" x14ac:dyDescent="0.25">
      <c r="K4" t="s">
        <v>15</v>
      </c>
    </row>
    <row r="5" spans="2:12" x14ac:dyDescent="0.25">
      <c r="B5" s="2"/>
    </row>
    <row r="6" spans="2:12" x14ac:dyDescent="0.25">
      <c r="B6" s="1"/>
    </row>
    <row r="7" spans="2:12" x14ac:dyDescent="0.25">
      <c r="K7" t="s">
        <v>17</v>
      </c>
    </row>
    <row r="8" spans="2:12" x14ac:dyDescent="0.25">
      <c r="B8" s="1" t="s">
        <v>22</v>
      </c>
      <c r="E8" s="9" t="s">
        <v>28</v>
      </c>
    </row>
    <row r="14" spans="2:12" x14ac:dyDescent="0.25">
      <c r="L14" t="s">
        <v>23</v>
      </c>
    </row>
    <row r="20" spans="15:15" x14ac:dyDescent="0.25">
      <c r="O20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0822</vt:lpstr>
      <vt:lpstr>0824</vt:lpstr>
      <vt:lpstr>0825</vt:lpstr>
      <vt:lpstr>0826</vt:lpstr>
      <vt:lpstr>ZH00050A</vt:lpstr>
      <vt:lpstr>'0822'!Print_Area</vt:lpstr>
      <vt:lpstr>'0825'!Print_Area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 Thi Hong Lua</cp:lastModifiedBy>
  <cp:revision>1</cp:revision>
  <cp:lastPrinted>2026-08-25T02:44:03Z</cp:lastPrinted>
  <dcterms:created xsi:type="dcterms:W3CDTF">2024-12-26T16:39:45Z</dcterms:created>
  <dcterms:modified xsi:type="dcterms:W3CDTF">2026-08-26T02:29:48Z</dcterms:modified>
  <cp:category/>
</cp:coreProperties>
</file>